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会议主表" sheetId="1" state="visible" r:id="rId1"/>
    <sheet xmlns:r="http://schemas.openxmlformats.org/officeDocument/2006/relationships" name="扩展规则" sheetId="2" state="visible" r:id="rId2"/>
    <sheet xmlns:r="http://schemas.openxmlformats.org/officeDocument/2006/relationships" name="新人作者要求" sheetId="3" state="visible" r:id="rId3"/>
    <sheet xmlns:r="http://schemas.openxmlformats.org/officeDocument/2006/relationships" name="待补清单" sheetId="4" state="visible" r:id="rId4"/>
    <sheet xmlns:r="http://schemas.openxmlformats.org/officeDocument/2006/relationships" name="ARR 轮次" sheetId="5" state="visible" r:id="rId5"/>
    <sheet xmlns:r="http://schemas.openxmlformats.org/officeDocument/2006/relationships" name="读我" sheetId="6" state="visible" r:id="rId6"/>
    <sheet xmlns:r="http://schemas.openxmlformats.org/officeDocument/2006/relationships" name="_轮次" sheetId="7" state="hidden" r:id="rId7"/>
  </sheets>
  <definedNames>
    <definedName name="_xlnm._FilterDatabase" localSheetId="0" hidden="1">'2027 会议主表'!$A$1:$Z$201</definedName>
    <definedName name="_xlnm._FilterDatabase" localSheetId="1" hidden="1">'扩展规则'!$A$1:$L$201</definedName>
    <definedName name="_xlnm._FilterDatabase" localSheetId="2" hidden="1">'新人作者要求'!$A$1:$P$201</definedName>
    <definedName name="_xlnm._FilterDatabase" localSheetId="3" hidden="1">'待补清单'!$A$1:$J$113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yyyy-mm-dd h:mm:ss"/>
    <numFmt numFmtId="166" formatCode="yyyy-mm-dd"/>
  </numFmts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303C"/>
      <sz val="9.5"/>
    </font>
    <font>
      <name val="Consolas"/>
      <color rgb="001A4E7A"/>
      <sz val="9.5"/>
    </font>
    <font>
      <name val="微软雅黑"/>
      <b val="1"/>
      <color rgb="0022303C"/>
      <sz val="9.5"/>
    </font>
    <font>
      <name val="微软雅黑"/>
      <b val="1"/>
      <color rgb="009C1F1F"/>
      <sz val="10"/>
    </font>
    <font>
      <name val="微软雅黑"/>
      <b val="1"/>
      <color rgb="008A5A10"/>
      <sz val="10"/>
    </font>
    <font>
      <name val="微软雅黑"/>
      <b val="1"/>
      <color rgb="001D4E7E"/>
      <sz val="10"/>
    </font>
    <font>
      <name val="微软雅黑"/>
      <b val="1"/>
      <color rgb="006B7480"/>
      <sz val="10"/>
    </font>
    <font>
      <name val="微软雅黑"/>
      <b val="1"/>
      <color rgb="001F3552"/>
      <sz val="13"/>
    </font>
    <font>
      <name val="微软雅黑"/>
      <color rgb="006B7480"/>
      <sz val="9"/>
    </font>
    <font>
      <name val="微软雅黑"/>
      <b val="1"/>
      <color rgb="009A6212"/>
      <sz val="9.5"/>
    </font>
    <font>
      <name val="微软雅黑"/>
      <i val="1"/>
      <color rgb="009A6212"/>
      <sz val="9"/>
    </font>
    <font>
      <name val="微软雅黑"/>
      <b val="1"/>
      <color rgb="001F3552"/>
      <sz val="11"/>
    </font>
    <font>
      <name val="微软雅黑"/>
      <b val="1"/>
      <color rgb="001F3552"/>
      <sz val="16"/>
    </font>
    <font>
      <name val="微软雅黑"/>
      <color rgb="006B7480"/>
      <sz val="9.5"/>
    </font>
    <font>
      <name val="微软雅黑"/>
      <b val="1"/>
      <color rgb="009A6212"/>
      <sz val="10"/>
    </font>
    <font>
      <name val="Consolas"/>
      <b val="1"/>
      <color rgb="009A6212"/>
      <sz val="11"/>
    </font>
    <font>
      <name val="Consolas"/>
      <color rgb="009A6212"/>
      <sz val="10"/>
    </font>
    <font>
      <name val="微软雅黑"/>
      <b val="1"/>
      <color rgb="002D6A9F"/>
      <sz val="10.5"/>
    </font>
  </fonts>
  <fills count="8">
    <fill>
      <patternFill/>
    </fill>
    <fill>
      <patternFill patternType="gray125"/>
    </fill>
    <fill>
      <patternFill patternType="solid">
        <fgColor rgb="001F3552"/>
      </patternFill>
    </fill>
    <fill>
      <patternFill patternType="solid">
        <fgColor rgb="00F5F8FB"/>
      </patternFill>
    </fill>
    <fill>
      <patternFill patternType="solid">
        <fgColor rgb="00FCE4E4"/>
      </patternFill>
    </fill>
    <fill>
      <patternFill patternType="solid">
        <fgColor rgb="00FDF0DC"/>
      </patternFill>
    </fill>
    <fill>
      <patternFill patternType="solid">
        <fgColor rgb="00E7F0FA"/>
      </patternFill>
    </fill>
    <fill>
      <patternFill patternType="solid">
        <fgColor rgb="00EEF0F2"/>
      </patternFill>
    </fill>
  </fills>
  <borders count="3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  <border>
      <bottom style="hair">
        <color rgb="00D8DEE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5" borderId="0" applyAlignment="1" pivotButton="0" quotePrefix="0" xfId="0">
      <alignment horizontal="left"/>
    </xf>
    <xf numFmtId="0" fontId="18" fillId="0" borderId="0" pivotButton="0" quotePrefix="0" xfId="0"/>
    <xf numFmtId="0" fontId="19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dxfs count="16">
    <dxf>
      <font>
        <name val="微软雅黑"/>
        <color rgb="008A96A3"/>
        <sz val="9.5"/>
      </font>
      <fill>
        <patternFill patternType="solid">
          <fgColor rgb="00E8ECF1"/>
        </patternFill>
      </fill>
    </dxf>
    <dxf>
      <font>
        <name val="微软雅黑"/>
        <b val="1"/>
        <color rgb="001E7B45"/>
        <sz val="9.5"/>
      </font>
      <fill>
        <patternFill patternType="solid">
          <fgColor rgb="00E3F2E8"/>
        </patternFill>
      </fill>
    </dxf>
    <dxf>
      <font>
        <name val="微软雅黑"/>
        <color rgb="009A6212"/>
        <sz val="9.5"/>
      </font>
      <fill>
        <patternFill patternType="solid">
          <fgColor rgb="00FDF1DC"/>
        </patternFill>
      </fill>
    </dxf>
    <dxf>
      <font>
        <name val="微软雅黑"/>
        <b val="1"/>
        <color rgb="00B3261E"/>
        <sz val="9.5"/>
      </font>
      <fill>
        <patternFill patternType="solid">
          <fgColor rgb="00FBE0E0"/>
        </patternFill>
      </fill>
    </dxf>
    <dxf>
      <font>
        <name val="微软雅黑"/>
        <b val="1"/>
        <color rgb="00A55A0B"/>
        <sz val="9.5"/>
      </font>
      <fill>
        <patternFill patternType="solid">
          <fgColor rgb="00FDEFDC"/>
        </patternFill>
      </fill>
    </dxf>
    <dxf>
      <font>
        <name val="微软雅黑"/>
        <b val="1"/>
        <color rgb="001E7B45"/>
        <sz val="9.5"/>
      </font>
      <fill>
        <patternFill patternType="solid">
          <fgColor rgb="00DCEFE2"/>
        </patternFill>
      </fill>
    </dxf>
    <dxf>
      <font>
        <name val="微软雅黑"/>
        <color rgb="009AA0A6"/>
        <sz val="9.5"/>
      </font>
      <fill>
        <patternFill patternType="solid">
          <fgColor rgb="00F0F0F0"/>
        </patternFill>
      </fill>
    </dxf>
    <dxf>
      <font>
        <name val="微软雅黑"/>
        <b val="1"/>
        <color rgb="008A5A10"/>
        <sz val="9.5"/>
      </font>
      <fill>
        <patternFill patternType="solid">
          <fgColor rgb="00FDF0DC"/>
        </patternFill>
      </fill>
    </dxf>
    <dxf>
      <font>
        <name val="微软雅黑"/>
        <color rgb="006B7480"/>
        <sz val="9.5"/>
      </font>
      <fill>
        <patternFill patternType="solid">
          <fgColor rgb="00F0F2F5"/>
        </patternFill>
      </fill>
    </dxf>
    <dxf>
      <font>
        <name val="微软雅黑"/>
        <color rgb="009AA4AF"/>
        <sz val="9.5"/>
      </font>
      <fill>
        <patternFill patternType="solid">
          <fgColor rgb="00FAFBFD"/>
        </patternFill>
      </fill>
    </dxf>
    <dxf>
      <font>
        <name val="微软雅黑"/>
        <color rgb="009C1F1F"/>
        <sz val="9.5"/>
      </font>
      <fill>
        <patternFill patternType="solid">
          <fgColor rgb="00FBEAE7"/>
        </patternFill>
      </fill>
    </dxf>
    <dxf>
      <font>
        <name val="微软雅黑"/>
        <color rgb="001E7B45"/>
        <sz val="9.5"/>
      </font>
      <fill>
        <patternFill patternType="solid">
          <fgColor rgb="00E3F2E8"/>
        </patternFill>
      </fill>
    </dxf>
    <dxf>
      <font>
        <name val="微软雅黑"/>
        <color rgb="001D4E7E"/>
        <sz val="9.5"/>
      </font>
      <fill>
        <patternFill patternType="solid">
          <fgColor rgb="00EEF4FA"/>
        </patternFill>
      </fill>
    </dxf>
    <dxf>
      <font>
        <name val="微软雅黑"/>
        <b val="1"/>
        <color rgb="009C1F1F"/>
        <sz val="9.5"/>
      </font>
      <fill>
        <patternFill patternType="solid">
          <fgColor rgb="00FBEAE7"/>
        </patternFill>
      </fill>
    </dxf>
    <dxf>
      <fill>
        <patternFill patternType="solid">
          <fgColor rgb="00FDF0DC"/>
        </patternFill>
      </fill>
    </dxf>
    <dxf>
      <font>
        <name val="Consolas"/>
        <color rgb="009AA4AF"/>
        <sz val="9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44" customWidth="1" min="3" max="3"/>
    <col width="38" customWidth="1" min="4" max="4"/>
    <col width="17" customWidth="1" min="5" max="5"/>
    <col width="5" customWidth="1" min="6" max="6"/>
    <col width="15" customWidth="1" min="7" max="7"/>
    <col width="15" customWidth="1" min="8" max="8"/>
    <col width="14" customWidth="1" min="9" max="9"/>
    <col width="9" customWidth="1" min="10" max="10"/>
    <col width="15" customWidth="1" min="11" max="11"/>
    <col width="15" customWidth="1" min="12" max="12"/>
    <col width="8" customWidth="1" min="13" max="13"/>
    <col width="7" customWidth="1" min="14" max="14"/>
    <col width="21" customWidth="1" min="15" max="15"/>
    <col width="24" customWidth="1" min="16" max="16"/>
    <col width="9" customWidth="1" min="17" max="17"/>
    <col width="12" customWidth="1" min="18" max="18"/>
    <col width="22" customWidth="1" min="19" max="19"/>
    <col width="9" customWidth="1" min="20" max="20"/>
    <col width="14" customWidth="1" min="21" max="21"/>
    <col width="24" customWidth="1" min="22" max="22"/>
    <col width="13" customWidth="1" min="23" max="23"/>
    <col width="16" customWidth="1" min="24" max="24"/>
    <col width="30" customWidth="1" min="25" max="25"/>
    <col width="34" customWidth="1" min="26" max="26"/>
  </cols>
  <sheetData>
    <row r="1" ht="36" customHeight="1">
      <c r="A1" s="1" t="inlineStr">
        <is>
          <t>序号</t>
        </is>
      </c>
      <c r="B1" s="1" t="inlineStr">
        <is>
          <t>简称</t>
        </is>
      </c>
      <c r="C1" s="1" t="inlineStr">
        <is>
          <t>全称</t>
        </is>
      </c>
      <c r="D1" s="1" t="inlineStr">
        <is>
          <t>研究主题</t>
        </is>
      </c>
      <c r="E1" s="1" t="inlineStr">
        <is>
          <t>方向</t>
        </is>
      </c>
      <c r="F1" s="1" t="inlineStr">
        <is>
          <t>CCF</t>
        </is>
      </c>
      <c r="G1" s="1" t="inlineStr">
        <is>
          <t>摘要截稿
(北京)</t>
        </is>
      </c>
      <c r="H1" s="1" t="inlineStr">
        <is>
          <t>正文截稿
(北京)</t>
        </is>
      </c>
      <c r="I1" s="1" t="inlineStr">
        <is>
          <t>轮次</t>
        </is>
      </c>
      <c r="J1" s="1" t="inlineStr">
        <is>
          <t>原始时区</t>
        </is>
      </c>
      <c r="K1" s="1" t="inlineStr">
        <is>
          <t>Rebuttal
(北京)</t>
        </is>
      </c>
      <c r="L1" s="1" t="inlineStr">
        <is>
          <t>录用通知
(北京)</t>
        </is>
      </c>
      <c r="M1" s="1" t="inlineStr">
        <is>
          <t>状态</t>
        </is>
      </c>
      <c r="N1" s="1" t="inlineStr">
        <is>
          <t>剩余
天数</t>
        </is>
      </c>
      <c r="O1" s="1" t="inlineStr">
        <is>
          <t>会期</t>
        </is>
      </c>
      <c r="P1" s="1" t="inlineStr">
        <is>
          <t>地点</t>
        </is>
      </c>
      <c r="Q1" s="1" t="inlineStr">
        <is>
          <t>举办形式</t>
        </is>
      </c>
      <c r="R1" s="1" t="inlineStr">
        <is>
          <t>是否必须到场</t>
        </is>
      </c>
      <c r="S1" s="1" t="inlineStr">
        <is>
          <t>远程参会</t>
        </is>
      </c>
      <c r="T1" s="1" t="inlineStr">
        <is>
          <t>投稿上限
(篇)</t>
        </is>
      </c>
      <c r="U1" s="1" t="inlineStr">
        <is>
          <t>上限口径</t>
        </is>
      </c>
      <c r="V1" s="1" t="inlineStr">
        <is>
          <t>新人作者条款</t>
        </is>
      </c>
      <c r="W1" s="1" t="inlineStr">
        <is>
          <t>官网核查</t>
        </is>
      </c>
      <c r="X1" s="1" t="inlineStr">
        <is>
          <t>信息缺口</t>
        </is>
      </c>
      <c r="Y1" s="1" t="inlineStr">
        <is>
          <t>官网</t>
        </is>
      </c>
      <c r="Z1" s="1" t="inlineStr">
        <is>
          <t>备注</t>
        </is>
      </c>
    </row>
    <row r="2" ht="32" customHeight="1">
      <c r="A2" s="2" t="n">
        <v>1</v>
      </c>
      <c r="B2" s="3" t="inlineStr">
        <is>
          <t>AAAI</t>
        </is>
      </c>
      <c r="C2" s="4" t="inlineStr">
        <is>
          <t>AAAI Conference on Artificial Intelligence</t>
        </is>
      </c>
      <c r="D2" s="4" t="inlineStr">
        <is>
          <t>AI 综合顶会，符号推理与规划传统强，也收 ML 各方向应用</t>
        </is>
      </c>
      <c r="E2" s="2" t="inlineStr">
        <is>
          <t>人工智能</t>
        </is>
      </c>
      <c r="F2" s="5" t="inlineStr">
        <is>
          <t>A</t>
        </is>
      </c>
      <c r="G2" s="6" t="n">
        <v>46225.83263888889</v>
      </c>
      <c r="H2" s="6" t="n">
        <v>46232.83263888889</v>
      </c>
      <c r="I2" s="7" t="inlineStr">
        <is>
          <t>单轮</t>
        </is>
      </c>
      <c r="J2" s="2" t="inlineStr">
        <is>
          <t>UTC-12</t>
        </is>
      </c>
      <c r="K2" s="6" t="n">
        <v>46321.83263888889</v>
      </c>
      <c r="L2" s="6" t="inlineStr">
        <is>
          <t>2026-11-30</t>
        </is>
      </c>
      <c r="M2" s="2">
        <f>IF(ISNUMBER(H2),IF(H2&gt;'_轮次'!$A$1,"未截止","已截止"),"TBD")</f>
        <v/>
      </c>
      <c r="N2" s="2">
        <f>IF(ISNUMBER(H2),IF(H2&gt;'_轮次'!$A$1,INT(H2-'_轮次'!$A$1),"—"),"—")</f>
        <v/>
      </c>
      <c r="O2" s="7" t="inlineStr">
        <is>
          <t>February 16-23, 2027</t>
        </is>
      </c>
      <c r="P2" s="4" t="inlineStr">
        <is>
          <t>Montréal, Québec, Canada</t>
        </is>
      </c>
      <c r="Q2" s="2" t="inlineStr">
        <is>
          <t>线下</t>
        </is>
      </c>
      <c r="R2" s="7" t="inlineStr">
        <is>
          <t>必须到场</t>
        </is>
      </c>
      <c r="S2" s="4" t="inlineStr">
        <is>
          <t>提供付费 virtual 参会</t>
        </is>
      </c>
      <c r="T2" s="2" t="inlineStr">
        <is>
          <t>不限</t>
        </is>
      </c>
      <c r="U2" s="2" t="inlineStr">
        <is>
          <t>—</t>
        </is>
      </c>
      <c r="V2" s="4" t="inlineStr">
        <is>
          <t>未找到</t>
        </is>
      </c>
      <c r="W2" s="2" t="inlineStr">
        <is>
          <t>已核实</t>
        </is>
      </c>
      <c r="X2" s="4" t="inlineStr">
        <is>
          <t>新人条款</t>
        </is>
      </c>
      <c r="Y2" s="7" t="inlineStr">
        <is>
          <t>https://aaai.org/conference/aaai/aaai-27/</t>
        </is>
      </c>
      <c r="Z2" s="4" t="inlineStr">
        <is>
          <t>近年投稿量极大，录取率约 20% 上下；核查:摘要07-21，全文07-28；日程页未写宣讲与远程政策</t>
        </is>
      </c>
    </row>
    <row r="3" ht="32" customHeight="1">
      <c r="A3" s="8" t="n">
        <v>2</v>
      </c>
      <c r="B3" s="9" t="inlineStr">
        <is>
          <t>ACL</t>
        </is>
      </c>
      <c r="C3" s="10" t="inlineStr">
        <is>
          <t>Annual Meeting of the Association for Computational Linguistics</t>
        </is>
      </c>
      <c r="D3" s="10" t="inlineStr">
        <is>
          <t>自然语言处理第一大会，句法语义到 LLM 应用全覆盖，重视评测</t>
        </is>
      </c>
      <c r="E3" s="8" t="inlineStr">
        <is>
          <t>人工智能</t>
        </is>
      </c>
      <c r="F3" s="5" t="inlineStr">
        <is>
          <t>A</t>
        </is>
      </c>
      <c r="G3" s="11" t="inlineStr">
        <is>
          <t>—</t>
        </is>
      </c>
      <c r="H3" s="11" t="n">
        <v>46392.83263888889</v>
      </c>
      <c r="I3" s="12" t="inlineStr">
        <is>
          <t>ARR Submission</t>
        </is>
      </c>
      <c r="J3" s="8" t="inlineStr">
        <is>
          <t>UTC-12</t>
        </is>
      </c>
      <c r="K3" s="11" t="inlineStr">
        <is>
          <t>—</t>
        </is>
      </c>
      <c r="L3" s="11" t="inlineStr">
        <is>
          <t>待公布</t>
        </is>
      </c>
      <c r="M3" s="8">
        <f>IF(ISNUMBER(H3),IF(H3&gt;'_轮次'!$A$1,"未截止","已截止"),"TBD")</f>
        <v/>
      </c>
      <c r="N3" s="8">
        <f>IF(ISNUMBER(H3),IF(H3&gt;'_轮次'!$A$1,INT(H3-'_轮次'!$A$1),"—"),"—")</f>
        <v/>
      </c>
      <c r="O3" s="12" t="inlineStr">
        <is>
          <t>August 17-22, 2027</t>
        </is>
      </c>
      <c r="P3" s="10" t="inlineStr">
        <is>
          <t>Kyoto, Japan</t>
        </is>
      </c>
      <c r="Q3" s="8" t="inlineStr">
        <is>
          <t>线下</t>
        </is>
      </c>
      <c r="R3" s="12" t="inlineStr">
        <is>
          <t>允许远程</t>
        </is>
      </c>
      <c r="S3" s="10" t="inlineStr">
        <is>
          <t>in-person 与 virtual 两种宣讲均可</t>
        </is>
      </c>
      <c r="T3" s="8" t="inlineStr">
        <is>
          <t>不限</t>
        </is>
      </c>
      <c r="U3" s="8" t="inlineStr">
        <is>
          <t>—</t>
        </is>
      </c>
      <c r="V3" s="10" t="inlineStr">
        <is>
          <t>未找到</t>
        </is>
      </c>
      <c r="W3" s="8" t="inlineStr">
        <is>
          <t>已核实</t>
        </is>
      </c>
      <c r="X3" s="10" t="inlineStr">
        <is>
          <t>新人条款</t>
        </is>
      </c>
      <c r="Y3" s="12" t="inlineStr">
        <is>
          <t>https://2027.aclweb.org/</t>
        </is>
      </c>
      <c r="Z3" s="10" t="inlineStr">
        <is>
          <t>经 ACL Rolling Review 提交，再承诺至会议；核查:须至少一位作者注册并宣讲；录用通知日TBD</t>
        </is>
      </c>
    </row>
    <row r="4" ht="32" customHeight="1">
      <c r="A4" s="2" t="n">
        <v>3</v>
      </c>
      <c r="B4" s="3" t="inlineStr">
        <is>
          <t>CVPR</t>
        </is>
      </c>
      <c r="C4" s="4" t="inlineStr">
        <is>
          <t>IEEE/CVF Conference on Computer Vision and Pattern Recognition</t>
        </is>
      </c>
      <c r="D4" s="4" t="inlineStr">
        <is>
          <t>计算机视觉第一大会，识别/检测/生成/三维全覆盖，看重实验规模</t>
        </is>
      </c>
      <c r="E4" s="2" t="inlineStr">
        <is>
          <t>人工智能</t>
        </is>
      </c>
      <c r="F4" s="5" t="inlineStr">
        <is>
          <t>A</t>
        </is>
      </c>
      <c r="G4" s="6" t="n">
        <v>46337.83263888889</v>
      </c>
      <c r="H4" s="6" t="n">
        <v>46343.83263888889</v>
      </c>
      <c r="I4" s="7" t="inlineStr">
        <is>
          <t>单轮</t>
        </is>
      </c>
      <c r="J4" s="2" t="inlineStr">
        <is>
          <t>UTC-12</t>
        </is>
      </c>
      <c r="K4" s="6" t="n">
        <v>46420.83263888889</v>
      </c>
      <c r="L4" s="6" t="inlineStr">
        <is>
          <t>2027-02-25</t>
        </is>
      </c>
      <c r="M4" s="2">
        <f>IF(ISNUMBER(H4),IF(H4&gt;'_轮次'!$A$1,"未截止","已截止"),"TBD")</f>
        <v/>
      </c>
      <c r="N4" s="2">
        <f>IF(ISNUMBER(H4),IF(H4&gt;'_轮次'!$A$1,INT(H4-'_轮次'!$A$1),"—"),"—")</f>
        <v/>
      </c>
      <c r="O4" s="7" t="inlineStr">
        <is>
          <t>June 20-25, 2027</t>
        </is>
      </c>
      <c r="P4" s="4" t="inlineStr">
        <is>
          <t>Seattle, WA, United States</t>
        </is>
      </c>
      <c r="Q4" s="2" t="inlineStr">
        <is>
          <t>线下</t>
        </is>
      </c>
      <c r="R4" s="7" t="inlineStr">
        <is>
          <t>必须到场</t>
        </is>
      </c>
      <c r="S4" s="4" t="inlineStr">
        <is>
          <t>不设线上报告通道</t>
        </is>
      </c>
      <c r="T4" s="2" t="inlineStr">
        <is>
          <t>不限</t>
        </is>
      </c>
      <c r="U4" s="2" t="inlineStr">
        <is>
          <t>—</t>
        </is>
      </c>
      <c r="V4" s="4" t="inlineStr">
        <is>
          <t>硬性｜全体作者须应召担任审稿人，豁免须事前申请</t>
        </is>
      </c>
      <c r="W4" s="2" t="inlineStr">
        <is>
          <t>已核实</t>
        </is>
      </c>
      <c r="X4" s="4" t="inlineStr">
        <is>
          <t>—</t>
        </is>
      </c>
      <c r="Y4" s="7" t="inlineStr">
        <is>
          <t>https://cvpr.thecvf.com/Conferences/2027</t>
        </is>
      </c>
      <c r="Z4" s="4" t="inlineStr">
        <is>
          <t>每年 11 月截稿，6 月开会；核查:论文注册11-10；CFP未明写现场宣讲要求</t>
        </is>
      </c>
    </row>
    <row r="5" ht="32" customHeight="1">
      <c r="A5" s="8" t="n">
        <v>4</v>
      </c>
      <c r="B5" s="9" t="inlineStr">
        <is>
          <t>ICCV</t>
        </is>
      </c>
      <c r="C5" s="10" t="inlineStr">
        <is>
          <t>IEEE International Conference on Computer Vision</t>
        </is>
      </c>
      <c r="D5" s="10" t="inlineStr">
        <is>
          <t>计算机视觉三大顶会之一，偏重算法创新与理论分析，两年一届</t>
        </is>
      </c>
      <c r="E5" s="8" t="inlineStr">
        <is>
          <t>人工智能</t>
        </is>
      </c>
      <c r="F5" s="5" t="inlineStr">
        <is>
          <t>A</t>
        </is>
      </c>
      <c r="G5" s="11" t="inlineStr">
        <is>
          <t>—</t>
        </is>
      </c>
      <c r="H5" s="11" t="inlineStr">
        <is>
          <t>待公布</t>
        </is>
      </c>
      <c r="I5" s="12" t="inlineStr">
        <is>
          <t>—</t>
        </is>
      </c>
      <c r="J5" s="8" t="inlineStr">
        <is>
          <t>AoE</t>
        </is>
      </c>
      <c r="K5" s="11" t="inlineStr">
        <is>
          <t>—</t>
        </is>
      </c>
      <c r="L5" s="11" t="inlineStr">
        <is>
          <t>待公布</t>
        </is>
      </c>
      <c r="M5" s="8">
        <f>IF(ISNUMBER(H5),IF(H5&gt;'_轮次'!$A$1,"未截止","已截止"),"TBD")</f>
        <v/>
      </c>
      <c r="N5" s="8">
        <f>IF(ISNUMBER(H5),IF(H5&gt;'_轮次'!$A$1,INT(H5-'_轮次'!$A$1),"—"),"—")</f>
        <v/>
      </c>
      <c r="O5" s="12" t="inlineStr">
        <is>
          <t>October 2-8, 2027</t>
        </is>
      </c>
      <c r="P5" s="10" t="inlineStr">
        <is>
          <t>Hong Kong, China</t>
        </is>
      </c>
      <c r="Q5" s="8" t="inlineStr">
        <is>
          <t>线下</t>
        </is>
      </c>
      <c r="R5" s="12" t="inlineStr">
        <is>
          <t>必须到场</t>
        </is>
      </c>
      <c r="S5" s="10" t="inlineStr">
        <is>
          <t>不设线上报告通道</t>
        </is>
      </c>
      <c r="T5" s="8" t="inlineStr">
        <is>
          <t>不限</t>
        </is>
      </c>
      <c r="U5" s="8" t="inlineStr">
        <is>
          <t>—</t>
        </is>
      </c>
      <c r="V5" s="10" t="inlineStr">
        <is>
          <t>CFP未发布</t>
        </is>
      </c>
      <c r="W5" s="8" t="inlineStr">
        <is>
          <t>2027CFP未发布</t>
        </is>
      </c>
      <c r="X5" s="10" t="inlineStr">
        <is>
          <t>截稿日、新人条款</t>
        </is>
      </c>
      <c r="Y5" s="12" t="inlineStr">
        <is>
          <t>https://iccv.thecvf.com/Conferences/2027</t>
        </is>
      </c>
      <c r="Z5" s="10" t="inlineStr">
        <is>
          <t>奇数年举办，2027 届正常召开；核查:官网仅公布时间地点(10/3-7)，CFP未出</t>
        </is>
      </c>
    </row>
    <row r="6" ht="32" customHeight="1">
      <c r="A6" s="2" t="n">
        <v>5</v>
      </c>
      <c r="B6" s="3" t="inlineStr">
        <is>
          <t>ICLR</t>
        </is>
      </c>
      <c r="C6" s="4" t="inlineStr">
        <is>
          <t>International Conference on Learning Representations</t>
        </is>
      </c>
      <c r="D6" s="4" t="inlineStr">
        <is>
          <t>表征学习与深度学习前沿阵地，LLM 时代影响力最大，开放评审</t>
        </is>
      </c>
      <c r="E6" s="2" t="inlineStr">
        <is>
          <t>人工智能</t>
        </is>
      </c>
      <c r="F6" s="5" t="inlineStr">
        <is>
          <t>A</t>
        </is>
      </c>
      <c r="G6" s="6" t="n">
        <v>46284.83263888889</v>
      </c>
      <c r="H6" s="6" t="n">
        <v>46291.83263888889</v>
      </c>
      <c r="I6" s="7" t="inlineStr">
        <is>
          <t>单轮</t>
        </is>
      </c>
      <c r="J6" s="2" t="inlineStr">
        <is>
          <t>AoE</t>
        </is>
      </c>
      <c r="K6" s="6" t="n">
        <v>46345.83263888889</v>
      </c>
      <c r="L6" s="6" t="inlineStr">
        <is>
          <t>2026-12-16</t>
        </is>
      </c>
      <c r="M6" s="2">
        <f>IF(ISNUMBER(H6),IF(H6&gt;'_轮次'!$A$1,"未截止","已截止"),"TBD")</f>
        <v/>
      </c>
      <c r="N6" s="2">
        <f>IF(ISNUMBER(H6),IF(H6&gt;'_轮次'!$A$1,INT(H6-'_轮次'!$A$1),"—"),"—")</f>
        <v/>
      </c>
      <c r="O6" s="7" t="inlineStr">
        <is>
          <t>April 26-30, 2027</t>
        </is>
      </c>
      <c r="P6" s="4" t="inlineStr">
        <is>
          <t>San Francisco, CA, USA</t>
        </is>
      </c>
      <c r="Q6" s="2" t="inlineStr">
        <is>
          <t>混合</t>
        </is>
      </c>
      <c r="R6" s="7" t="inlineStr">
        <is>
          <t>允许远程</t>
        </is>
      </c>
      <c r="S6" s="4" t="inlineStr">
        <is>
          <t>免费线上参会并可远程报告</t>
        </is>
      </c>
      <c r="T6" s="2" t="n">
        <v>20</v>
      </c>
      <c r="U6" s="2" t="inlineStr">
        <is>
          <t>每届</t>
        </is>
      </c>
      <c r="V6" s="4" t="inlineStr">
        <is>
          <t>硬性｜须指定作者注册审稿≥3 篇，否则直接拒稿</t>
        </is>
      </c>
      <c r="W6" s="2" t="inlineStr">
        <is>
          <t>已核实</t>
        </is>
      </c>
      <c r="X6" s="4" t="inlineStr">
        <is>
          <t>—</t>
        </is>
      </c>
      <c r="Y6" s="7" t="inlineStr">
        <is>
          <t>https://iclr.cc/Conferences/2027</t>
        </is>
      </c>
      <c r="Z6" s="4" t="inlineStr">
        <is>
          <t>评审意见与讨论全程公开；核查:署名≥3篇须审6篇；出席形式未明示</t>
        </is>
      </c>
    </row>
    <row r="7" ht="32" customHeight="1">
      <c r="A7" s="8" t="n">
        <v>6</v>
      </c>
      <c r="B7" s="9" t="inlineStr">
        <is>
          <t>ACM SIGGRAPH</t>
        </is>
      </c>
      <c r="C7" s="10" t="inlineStr">
        <is>
          <t>ACM SIGGRAPH Annual Conference</t>
        </is>
      </c>
      <c r="D7" s="10" t="inlineStr">
        <is>
          <t>图形学与交互技术第一大会，渲染/几何/动画，重系统与艺术表达</t>
        </is>
      </c>
      <c r="E7" s="8" t="inlineStr">
        <is>
          <t>图形学与多媒体</t>
        </is>
      </c>
      <c r="F7" s="5" t="inlineStr">
        <is>
          <t>A</t>
        </is>
      </c>
      <c r="G7" s="11" t="inlineStr">
        <is>
          <t>—</t>
        </is>
      </c>
      <c r="H7" s="11" t="inlineStr">
        <is>
          <t>待公布</t>
        </is>
      </c>
      <c r="I7" s="12" t="inlineStr">
        <is>
          <t>—</t>
        </is>
      </c>
      <c r="J7" s="8" t="inlineStr">
        <is>
          <t>UTC+0</t>
        </is>
      </c>
      <c r="K7" s="11" t="inlineStr">
        <is>
          <t>—</t>
        </is>
      </c>
      <c r="L7" s="11" t="inlineStr">
        <is>
          <t>待公布</t>
        </is>
      </c>
      <c r="M7" s="8">
        <f>IF(ISNUMBER(H7),IF(H7&gt;'_轮次'!$A$1,"未截止","已截止"),"TBD")</f>
        <v/>
      </c>
      <c r="N7" s="8">
        <f>IF(ISNUMBER(H7),IF(H7&gt;'_轮次'!$A$1,INT(H7-'_轮次'!$A$1),"—"),"—")</f>
        <v/>
      </c>
      <c r="O7" s="12" t="inlineStr">
        <is>
          <t>August 8 - 12, 2027</t>
        </is>
      </c>
      <c r="P7" s="10" t="inlineStr">
        <is>
          <t>Anaheim, California</t>
        </is>
      </c>
      <c r="Q7" s="8" t="inlineStr">
        <is>
          <t>线下</t>
        </is>
      </c>
      <c r="R7" s="12" t="inlineStr">
        <is>
          <t>必须到场</t>
        </is>
      </c>
      <c r="S7" s="10" t="inlineStr">
        <is>
          <t>提供付费线上参会</t>
        </is>
      </c>
      <c r="T7" s="8" t="inlineStr">
        <is>
          <t>不限</t>
        </is>
      </c>
      <c r="U7" s="8" t="inlineStr">
        <is>
          <t>—</t>
        </is>
      </c>
      <c r="V7" s="10" t="inlineStr">
        <is>
          <t>CFP未发布</t>
        </is>
      </c>
      <c r="W7" s="8" t="inlineStr">
        <is>
          <t>2027CFP未发布</t>
        </is>
      </c>
      <c r="X7" s="10" t="inlineStr">
        <is>
          <t>截稿日、新人条款</t>
        </is>
      </c>
      <c r="Y7" s="12" t="inlineStr">
        <is>
          <t>https://s2027.siggraph.org/</t>
        </is>
      </c>
      <c r="Z7" s="10" t="inlineStr">
        <is>
          <t>分技术论文与 Art Papers 等多轨道；核查:第三方站点称Stage1为2027-01-21，官网未见</t>
        </is>
      </c>
    </row>
    <row r="8" ht="32" customHeight="1">
      <c r="A8" s="2" t="n">
        <v>7</v>
      </c>
      <c r="B8" s="3" t="inlineStr">
        <is>
          <t>IEEE VR</t>
        </is>
      </c>
      <c r="C8" s="4" t="inlineStr">
        <is>
          <t>IEEE Virtual Reality</t>
        </is>
      </c>
      <c r="D8" s="4" t="inlineStr">
        <is>
          <t>虚拟现实与增强现实顶会，追踪/显示/交互/感知，偏系统与用户研究</t>
        </is>
      </c>
      <c r="E8" s="2" t="inlineStr">
        <is>
          <t>图形学与多媒体</t>
        </is>
      </c>
      <c r="F8" s="5" t="inlineStr">
        <is>
          <t>A</t>
        </is>
      </c>
      <c r="G8" s="6" t="n">
        <v>46259.83263888889</v>
      </c>
      <c r="H8" s="6" t="n">
        <v>46266.83263888889</v>
      </c>
      <c r="I8" s="7" t="inlineStr">
        <is>
          <t>单轮</t>
        </is>
      </c>
      <c r="J8" s="2" t="inlineStr">
        <is>
          <t>AoE</t>
        </is>
      </c>
      <c r="K8" s="6" t="inlineStr">
        <is>
          <t>—</t>
        </is>
      </c>
      <c r="L8" s="6" t="inlineStr">
        <is>
          <t>2027-01-07</t>
        </is>
      </c>
      <c r="M8" s="2">
        <f>IF(ISNUMBER(H8),IF(H8&gt;'_轮次'!$A$1,"未截止","已截止"),"TBD")</f>
        <v/>
      </c>
      <c r="N8" s="2">
        <f>IF(ISNUMBER(H8),IF(H8&gt;'_轮次'!$A$1,INT(H8-'_轮次'!$A$1),"—"),"—")</f>
        <v/>
      </c>
      <c r="O8" s="7" t="inlineStr">
        <is>
          <t>February 27 - March 3, 2027</t>
        </is>
      </c>
      <c r="P8" s="4" t="inlineStr">
        <is>
          <t>Melbourne, Australia</t>
        </is>
      </c>
      <c r="Q8" s="2" t="inlineStr">
        <is>
          <t>线下</t>
        </is>
      </c>
      <c r="R8" s="7" t="inlineStr">
        <is>
          <t>必须到场</t>
        </is>
      </c>
      <c r="S8" s="4" t="inlineStr">
        <is>
          <t>仅特殊情况允许线上宣讲</t>
        </is>
      </c>
      <c r="T8" s="2" t="inlineStr">
        <is>
          <t>不限</t>
        </is>
      </c>
      <c r="U8" s="2" t="inlineStr">
        <is>
          <t>—</t>
        </is>
      </c>
      <c r="V8" s="4" t="inlineStr">
        <is>
          <t>硬性｜资深作者须注册审稿，评审数≥投稿数，失责可拒稿</t>
        </is>
      </c>
      <c r="W8" s="2" t="inlineStr">
        <is>
          <t>已核实</t>
        </is>
      </c>
      <c r="X8" s="4" t="inlineStr">
        <is>
          <t>—</t>
        </is>
      </c>
      <c r="Y8" s="7" t="inlineStr">
        <is>
          <t>https://ieeevr.org/2027/</t>
        </is>
      </c>
      <c r="Z8" s="4" t="inlineStr">
        <is>
          <t>期刊轨与会议轨并行，TVCG 出版；核查:截稿已过(2026-08-31)；资深作者须任审稿人</t>
        </is>
      </c>
    </row>
    <row r="9" ht="32" customHeight="1">
      <c r="A9" s="8" t="n">
        <v>8</v>
      </c>
      <c r="B9" s="9" t="inlineStr">
        <is>
          <t>CAV</t>
        </is>
      </c>
      <c r="C9" s="10" t="inlineStr">
        <is>
          <t>International Conference on Computer-Aided Verification</t>
        </is>
      </c>
      <c r="D9" s="10" t="inlineStr">
        <is>
          <t>计算机辅助验证顶会，模型检验/程序验证/SMT，形式化方法核心</t>
        </is>
      </c>
      <c r="E9" s="8" t="inlineStr">
        <is>
          <t>计算机科学理论</t>
        </is>
      </c>
      <c r="F9" s="5" t="inlineStr">
        <is>
          <t>A</t>
        </is>
      </c>
      <c r="G9" s="11" t="inlineStr">
        <is>
          <t>—</t>
        </is>
      </c>
      <c r="H9" s="11" t="n">
        <v>46408.83263888889</v>
      </c>
      <c r="I9" s="12" t="inlineStr">
        <is>
          <t>单轮</t>
        </is>
      </c>
      <c r="J9" s="8" t="inlineStr">
        <is>
          <t>AoE</t>
        </is>
      </c>
      <c r="K9" s="11" t="n">
        <v>46486.83263888889</v>
      </c>
      <c r="L9" s="11" t="inlineStr">
        <is>
          <t>2027-04-23</t>
        </is>
      </c>
      <c r="M9" s="8">
        <f>IF(ISNUMBER(H9),IF(H9&gt;'_轮次'!$A$1,"未截止","已截止"),"TBD")</f>
        <v/>
      </c>
      <c r="N9" s="8">
        <f>IF(ISNUMBER(H9),IF(H9&gt;'_轮次'!$A$1,INT(H9-'_轮次'!$A$1),"—"),"—")</f>
        <v/>
      </c>
      <c r="O9" s="12" t="inlineStr">
        <is>
          <t>July 19-23, 2027</t>
        </is>
      </c>
      <c r="P9" s="10" t="inlineStr">
        <is>
          <t>KIT, Amsterdam, The Netherlands</t>
        </is>
      </c>
      <c r="Q9" s="8" t="inlineStr">
        <is>
          <t>线下</t>
        </is>
      </c>
      <c r="R9" s="12" t="inlineStr">
        <is>
          <t>待确认</t>
        </is>
      </c>
      <c r="S9" s="10" t="inlineStr">
        <is>
          <t>待确认</t>
        </is>
      </c>
      <c r="T9" s="8" t="n">
        <v>5</v>
      </c>
      <c r="U9" s="8" t="inlineStr">
        <is>
          <t>每届</t>
        </is>
      </c>
      <c r="V9" s="10" t="inlineStr">
        <is>
          <t>无专属条款</t>
        </is>
      </c>
      <c r="W9" s="8" t="inlineStr">
        <is>
          <t>已核实</t>
        </is>
      </c>
      <c r="X9" s="10" t="inlineStr">
        <is>
          <t>是否到场</t>
        </is>
      </c>
      <c r="Y9" s="12" t="inlineStr">
        <is>
          <t>https://conferences.i-cav.org/2027/</t>
        </is>
      </c>
      <c r="Z9" s="10" t="inlineStr">
        <is>
          <t>LNCS 出版，另设 artifact 评审；核查:全文2027-01-20；每作者限投5篇（含三类）</t>
        </is>
      </c>
    </row>
    <row r="10" ht="32" customHeight="1">
      <c r="A10" s="2" t="n">
        <v>9</v>
      </c>
      <c r="B10" s="3" t="inlineStr">
        <is>
          <t>LICS</t>
        </is>
      </c>
      <c r="C10" s="4" t="inlineStr">
        <is>
          <t>IEEE Symposium on Logic in Computer Science</t>
        </is>
      </c>
      <c r="D10" s="4" t="inlineStr">
        <is>
          <t>逻辑与计算机科学交叉顶会，证明论/语义/类型论，理论性强</t>
        </is>
      </c>
      <c r="E10" s="2" t="inlineStr">
        <is>
          <t>计算机科学理论</t>
        </is>
      </c>
      <c r="F10" s="5" t="inlineStr">
        <is>
          <t>A</t>
        </is>
      </c>
      <c r="G10" s="6" t="inlineStr">
        <is>
          <t>—</t>
        </is>
      </c>
      <c r="H10" s="6" t="inlineStr">
        <is>
          <t>待公布</t>
        </is>
      </c>
      <c r="I10" s="7" t="inlineStr">
        <is>
          <t>—</t>
        </is>
      </c>
      <c r="J10" s="2" t="inlineStr">
        <is>
          <t>AoE</t>
        </is>
      </c>
      <c r="K10" s="6" t="inlineStr">
        <is>
          <t>—</t>
        </is>
      </c>
      <c r="L10" s="6" t="inlineStr">
        <is>
          <t>待公布</t>
        </is>
      </c>
      <c r="M10" s="2">
        <f>IF(ISNUMBER(H10),IF(H10&gt;'_轮次'!$A$1,"未截止","已截止"),"TBD")</f>
        <v/>
      </c>
      <c r="N10" s="2">
        <f>IF(ISNUMBER(H10),IF(H10&gt;'_轮次'!$A$1,INT(H10-'_轮次'!$A$1),"—"),"—")</f>
        <v/>
      </c>
      <c r="O10" s="7" t="inlineStr">
        <is>
          <t>June 21-24, 2027</t>
        </is>
      </c>
      <c r="P10" s="4" t="inlineStr">
        <is>
          <t>Montréal, Canada</t>
        </is>
      </c>
      <c r="Q10" s="2" t="inlineStr">
        <is>
          <t>线下</t>
        </is>
      </c>
      <c r="R10" s="7" t="inlineStr">
        <is>
          <t>待确认</t>
        </is>
      </c>
      <c r="S10" s="4" t="inlineStr">
        <is>
          <t>待确认</t>
        </is>
      </c>
      <c r="T10" s="2" t="inlineStr">
        <is>
          <t>不限</t>
        </is>
      </c>
      <c r="U10" s="2" t="inlineStr">
        <is>
          <t>—</t>
        </is>
      </c>
      <c r="V10" s="4" t="inlineStr">
        <is>
          <t>CFP未发布</t>
        </is>
      </c>
      <c r="W10" s="2" t="inlineStr">
        <is>
          <t>2027CFP未发布</t>
        </is>
      </c>
      <c r="X10" s="4" t="inlineStr">
        <is>
          <t>截稿日、是否到场、新人条款</t>
        </is>
      </c>
      <c r="Y10" s="7" t="inlineStr">
        <is>
          <t>https://lics.siglog.org/lics27/</t>
        </is>
      </c>
      <c r="Z10" s="4" t="inlineStr">
        <is>
          <t>常与 ICALP 等逻辑类会议联办；核查:官网仅占位页，注明信息稍后公布</t>
        </is>
      </c>
    </row>
    <row r="11" ht="32" customHeight="1">
      <c r="A11" s="8" t="n">
        <v>10</v>
      </c>
      <c r="B11" s="9" t="inlineStr">
        <is>
          <t>SODA</t>
        </is>
      </c>
      <c r="C11" s="10" t="inlineStr">
        <is>
          <t>ACM-SIAM Symposium on Discrete Algorithms</t>
        </is>
      </c>
      <c r="D11" s="10" t="inlineStr">
        <is>
          <t>离散算法理论顶会，算法设计与下界证明，与 STOC/FOCS 互补</t>
        </is>
      </c>
      <c r="E11" s="8" t="inlineStr">
        <is>
          <t>计算机科学理论</t>
        </is>
      </c>
      <c r="F11" s="5" t="inlineStr">
        <is>
          <t>A</t>
        </is>
      </c>
      <c r="G11" s="11" t="inlineStr">
        <is>
          <t>—</t>
        </is>
      </c>
      <c r="H11" s="11" t="n">
        <v>46213.83263888889</v>
      </c>
      <c r="I11" s="12" t="inlineStr">
        <is>
          <t>单轮</t>
        </is>
      </c>
      <c r="J11" s="8" t="inlineStr">
        <is>
          <t>UTC-12</t>
        </is>
      </c>
      <c r="K11" s="11" t="n">
        <v>46270.83263888889</v>
      </c>
      <c r="L11" s="11" t="inlineStr">
        <is>
          <t>待公布</t>
        </is>
      </c>
      <c r="M11" s="8">
        <f>IF(ISNUMBER(H11),IF(H11&gt;'_轮次'!$A$1,"未截止","已截止"),"TBD")</f>
        <v/>
      </c>
      <c r="N11" s="8">
        <f>IF(ISNUMBER(H11),IF(H11&gt;'_轮次'!$A$1,INT(H11-'_轮次'!$A$1),"—"),"—")</f>
        <v/>
      </c>
      <c r="O11" s="12" t="inlineStr">
        <is>
          <t>January 24-27, 2027</t>
        </is>
      </c>
      <c r="P11" s="10" t="inlineStr">
        <is>
          <t>Philadelphia, Pennsylvania, USA</t>
        </is>
      </c>
      <c r="Q11" s="8" t="inlineStr">
        <is>
          <t>线下</t>
        </is>
      </c>
      <c r="R11" s="12" t="inlineStr">
        <is>
          <t>必须到场</t>
        </is>
      </c>
      <c r="S11" s="10" t="inlineStr">
        <is>
          <t>不接受远程或录播报告</t>
        </is>
      </c>
      <c r="T11" s="8" t="inlineStr">
        <is>
          <t>不限</t>
        </is>
      </c>
      <c r="U11" s="8" t="inlineStr">
        <is>
          <t>—</t>
        </is>
      </c>
      <c r="V11" s="10" t="inlineStr">
        <is>
          <t>利好｜通道 最佳学生论文奖（全学生作者可评）</t>
        </is>
      </c>
      <c r="W11" s="8" t="inlineStr">
        <is>
          <t>已核实</t>
        </is>
      </c>
      <c r="X11" s="10" t="inlineStr">
        <is>
          <t>—</t>
        </is>
      </c>
      <c r="Y11" s="12" t="inlineStr">
        <is>
          <t>https://www.siam.org/conferences-events/siam-conferences/soda27/</t>
        </is>
      </c>
      <c r="Z11" s="10" t="inlineStr">
        <is>
          <t>与 ALENEX/ANALCO 同期同地举办；核查:录用通知仅写2026年10月，无具体日</t>
        </is>
      </c>
    </row>
    <row r="12" ht="32" customHeight="1">
      <c r="A12" s="2" t="n">
        <v>11</v>
      </c>
      <c r="B12" s="3" t="inlineStr">
        <is>
          <t>STOC</t>
        </is>
      </c>
      <c r="C12" s="4" t="inlineStr">
        <is>
          <t>ACM Symposium on the Theory of Computing</t>
        </is>
      </c>
      <c r="D12" s="4" t="inlineStr">
        <is>
          <t>理论计算机科学最高级别会议，复杂度/算法/密码基础理论</t>
        </is>
      </c>
      <c r="E12" s="2" t="inlineStr">
        <is>
          <t>计算机科学理论</t>
        </is>
      </c>
      <c r="F12" s="5" t="inlineStr">
        <is>
          <t>A</t>
        </is>
      </c>
      <c r="G12" s="6" t="inlineStr">
        <is>
          <t>—</t>
        </is>
      </c>
      <c r="H12" s="6" t="n">
        <v>46329.83263888889</v>
      </c>
      <c r="I12" s="7" t="inlineStr">
        <is>
          <t>单轮</t>
        </is>
      </c>
      <c r="J12" s="2" t="inlineStr">
        <is>
          <t>UTC-12</t>
        </is>
      </c>
      <c r="K12" s="6" t="inlineStr">
        <is>
          <t>—</t>
        </is>
      </c>
      <c r="L12" s="6" t="inlineStr">
        <is>
          <t>2027-02-01</t>
        </is>
      </c>
      <c r="M12" s="2">
        <f>IF(ISNUMBER(H12),IF(H12&gt;'_轮次'!$A$1,"未截止","已截止"),"TBD")</f>
        <v/>
      </c>
      <c r="N12" s="2">
        <f>IF(ISNUMBER(H12),IF(H12&gt;'_轮次'!$A$1,INT(H12-'_轮次'!$A$1),"—"),"—")</f>
        <v/>
      </c>
      <c r="O12" s="7" t="inlineStr">
        <is>
          <t>June 6-11, 2027</t>
        </is>
      </c>
      <c r="P12" s="4" t="inlineStr">
        <is>
          <t>Atlanta, Georgia, USA</t>
        </is>
      </c>
      <c r="Q12" s="2" t="inlineStr">
        <is>
          <t>线下</t>
        </is>
      </c>
      <c r="R12" s="7" t="inlineStr">
        <is>
          <t>必须到场</t>
        </is>
      </c>
      <c r="S12" s="4" t="inlineStr">
        <is>
          <t>无正式远程，需提前联系主席</t>
        </is>
      </c>
      <c r="T12" s="2" t="n">
        <v>5</v>
      </c>
      <c r="U12" s="2" t="inlineStr">
        <is>
          <t>每届</t>
        </is>
      </c>
      <c r="V12" s="4" t="inlineStr">
        <is>
          <t>硬性｜配额 5 篇（每位作者各自计，适用于所有作者）</t>
        </is>
      </c>
      <c r="W12" s="2" t="inlineStr">
        <is>
          <t>已核实</t>
        </is>
      </c>
      <c r="X12" s="4" t="inlineStr">
        <is>
          <t>—</t>
        </is>
      </c>
      <c r="Y12" s="7" t="inlineStr">
        <is>
          <t>https://acm-stoc.org/stoc2027/</t>
        </is>
      </c>
      <c r="Z12" s="4" t="inlineStr">
        <is>
          <t>与 FOCS 并列为理论两大顶会；核查:强制公开发布投稿并提交20-30分钟视频</t>
        </is>
      </c>
    </row>
    <row r="13" ht="32" customHeight="1">
      <c r="A13" s="8" t="n">
        <v>12</v>
      </c>
      <c r="B13" s="9" t="inlineStr">
        <is>
          <t>ICDE</t>
        </is>
      </c>
      <c r="C13" s="10" t="inlineStr">
        <is>
          <t>IEEE International Conference on Data Engineering</t>
        </is>
      </c>
      <c r="D13" s="10" t="inlineStr">
        <is>
          <t>数据工程三大顶会之一，数据库系统/查询优化/数据管理全方向</t>
        </is>
      </c>
      <c r="E13" s="8" t="inlineStr">
        <is>
          <t>数据库/数据挖掘</t>
        </is>
      </c>
      <c r="F13" s="5" t="inlineStr">
        <is>
          <t>A</t>
        </is>
      </c>
      <c r="G13" s="11">
        <f>IF(ISNUMBER(H13),IF(N(INDEX('_轮次'!$N$13:$Y$13,MATCH(H13,'_轮次'!$B$13:$M$13,0)))=0,"—",INDEX('_轮次'!$N$13:$Y$13,MATCH(H13,'_轮次'!$B$13:$M$13,0))),"—")</f>
        <v/>
      </c>
      <c r="H13" s="11">
        <f>IF(COUNT('_轮次'!$B$13:$M$13)=0,"待公布",IF(COUNTIF('_轮次'!$B$13:$M$13,"&gt;"&amp;'_轮次'!$A$1)&gt;0,SMALL('_轮次'!$B$13:$M$13,COUNTIF('_轮次'!$B$13:$M$13,"&lt;="&amp;'_轮次'!$A$1)+1),MAX('_轮次'!$B$13:$M$13)))</f>
        <v/>
      </c>
      <c r="I13" s="12">
        <f>IF(ISNUMBER(H13),INDEX('_轮次'!$AX$13:$BI$13,MATCH(H13,'_轮次'!$B$13:$M$13,0)),"—")</f>
        <v/>
      </c>
      <c r="J13" s="8" t="inlineStr">
        <is>
          <t>PT</t>
        </is>
      </c>
      <c r="K13" s="11">
        <f>IF(ISNUMBER(H13),IF(N(INDEX('_轮次'!$Z$13:$AK$13,MATCH(H13,'_轮次'!$B$13:$M$13,0)))=0,"—",INDEX('_轮次'!$Z$13:$AK$13,MATCH(H13,'_轮次'!$B$13:$M$13,0))),"—")</f>
        <v/>
      </c>
      <c r="L13" s="11">
        <f>IF(ISNUMBER(H13),IF(N(INDEX('_轮次'!$AL$13:$AW$13,MATCH(H13,'_轮次'!$B$13:$M$13,0)))=0,"—",INDEX('_轮次'!$AL$13:$AW$13,MATCH(H13,'_轮次'!$B$13:$M$13,0))),"—")</f>
        <v/>
      </c>
      <c r="M13" s="8">
        <f>IF(ISNUMBER(H13),IF(H13&gt;'_轮次'!$A$1,"未截止","已截止"),"TBD")</f>
        <v/>
      </c>
      <c r="N13" s="8">
        <f>IF(ISNUMBER(H13),IF(H13&gt;'_轮次'!$A$1,INT(H13-'_轮次'!$A$1),"—"),"—")</f>
        <v/>
      </c>
      <c r="O13" s="12" t="inlineStr">
        <is>
          <t>May 17-21, 2027</t>
        </is>
      </c>
      <c r="P13" s="10" t="inlineStr">
        <is>
          <t>Copenhagen, Denmark</t>
        </is>
      </c>
      <c r="Q13" s="8" t="inlineStr">
        <is>
          <t>线下</t>
        </is>
      </c>
      <c r="R13" s="12" t="inlineStr">
        <is>
          <t>必须到场</t>
        </is>
      </c>
      <c r="S13" s="10" t="inlineStr">
        <is>
          <t>待确认</t>
        </is>
      </c>
      <c r="T13" s="8" t="inlineStr">
        <is>
          <t>不限</t>
        </is>
      </c>
      <c r="U13" s="8" t="inlineStr">
        <is>
          <t>—</t>
        </is>
      </c>
      <c r="V13" s="10" t="inlineStr">
        <is>
          <t>硬性｜配额 5 篇（每轮，研究轨道）</t>
        </is>
      </c>
      <c r="W13" s="8" t="inlineStr">
        <is>
          <t>已核实</t>
        </is>
      </c>
      <c r="X13" s="10" t="inlineStr">
        <is>
          <t>—</t>
        </is>
      </c>
      <c r="Y13" s="12" t="inlineStr">
        <is>
          <t>https://icde2027.github.io/</t>
        </is>
      </c>
      <c r="Z13" s="10" t="inlineStr">
        <is>
          <t>IEEE 主办，分研究轨与工业轨；核查:研究主会两轮，第一轮2026-06-11已截；全部轮次 first round:2026-06-12 / second round:2026-11-12</t>
        </is>
      </c>
    </row>
    <row r="14" ht="32" customHeight="1">
      <c r="A14" s="2" t="n">
        <v>13</v>
      </c>
      <c r="B14" s="3" t="inlineStr">
        <is>
          <t>SIGIR</t>
        </is>
      </c>
      <c r="C14" s="4" t="inlineStr">
        <is>
          <t>International Conference on Research on Development in Information Retrieval</t>
        </is>
      </c>
      <c r="D14" s="4" t="inlineStr">
        <is>
          <t>信息检索第一大会，检索模型/排序/推荐/对话式检索，评测导向</t>
        </is>
      </c>
      <c r="E14" s="2" t="inlineStr">
        <is>
          <t>数据库/数据挖掘</t>
        </is>
      </c>
      <c r="F14" s="5" t="inlineStr">
        <is>
          <t>A</t>
        </is>
      </c>
      <c r="G14" s="6" t="n">
        <v>46402.83263888889</v>
      </c>
      <c r="H14" s="6" t="n">
        <v>46409.83263888889</v>
      </c>
      <c r="I14" s="7" t="inlineStr">
        <is>
          <t>单轮</t>
        </is>
      </c>
      <c r="J14" s="2" t="inlineStr">
        <is>
          <t>AoE</t>
        </is>
      </c>
      <c r="K14" s="6" t="inlineStr">
        <is>
          <t>—</t>
        </is>
      </c>
      <c r="L14" s="6" t="inlineStr">
        <is>
          <t>2027-04-05</t>
        </is>
      </c>
      <c r="M14" s="2">
        <f>IF(ISNUMBER(H14),IF(H14&gt;'_轮次'!$A$1,"未截止","已截止"),"TBD")</f>
        <v/>
      </c>
      <c r="N14" s="2">
        <f>IF(ISNUMBER(H14),IF(H14&gt;'_轮次'!$A$1,INT(H14-'_轮次'!$A$1),"—"),"—")</f>
        <v/>
      </c>
      <c r="O14" s="7" t="inlineStr">
        <is>
          <t>July 18-24, 2027</t>
        </is>
      </c>
      <c r="P14" s="4" t="inlineStr">
        <is>
          <t>San Jose, California, USA</t>
        </is>
      </c>
      <c r="Q14" s="2" t="inlineStr">
        <is>
          <t>线下</t>
        </is>
      </c>
      <c r="R14" s="7" t="inlineStr">
        <is>
          <t>必须到场</t>
        </is>
      </c>
      <c r="S14" s="4" t="inlineStr">
        <is>
          <t>待确认</t>
        </is>
      </c>
      <c r="T14" s="2" t="inlineStr">
        <is>
          <t>不限</t>
        </is>
      </c>
      <c r="U14" s="2" t="inlineStr">
        <is>
          <t>—</t>
        </is>
      </c>
      <c r="V14" s="4" t="inlineStr">
        <is>
          <t>利好｜通道 Doctoral Consortium</t>
        </is>
      </c>
      <c r="W14" s="2" t="inlineStr">
        <is>
          <t>已核实</t>
        </is>
      </c>
      <c r="X14" s="4" t="inlineStr">
        <is>
          <t>—</t>
        </is>
      </c>
      <c r="Y14" s="7" t="inlineStr">
        <is>
          <t>https://sigir2027.org/</t>
        </is>
      </c>
      <c r="Z14" s="4" t="inlineStr">
        <is>
          <t>设 Resource、Demo、Industry 等子轨道；核查:摘要2027-01-14；短论文等日期标TBA</t>
        </is>
      </c>
    </row>
    <row r="15" ht="32" customHeight="1">
      <c r="A15" s="8" t="n">
        <v>14</v>
      </c>
      <c r="B15" s="9" t="inlineStr">
        <is>
          <t>SIGKDD</t>
        </is>
      </c>
      <c r="C15" s="10" t="inlineStr">
        <is>
          <t>ACM Knowledge Discovery and Data Mining</t>
        </is>
      </c>
      <c r="D15" s="10" t="inlineStr">
        <is>
          <t>数据挖掘第一大会，图学习/推荐/时序/大模型数据应用，工业界重</t>
        </is>
      </c>
      <c r="E15" s="8" t="inlineStr">
        <is>
          <t>数据库/数据挖掘</t>
        </is>
      </c>
      <c r="F15" s="5" t="inlineStr">
        <is>
          <t>A</t>
        </is>
      </c>
      <c r="G15" s="11" t="n">
        <v>46223.83263888889</v>
      </c>
      <c r="H15" s="11" t="n">
        <v>46230.83263888889</v>
      </c>
      <c r="I15" s="12" t="inlineStr">
        <is>
          <t>1st round of 2 total rounds</t>
        </is>
      </c>
      <c r="J15" s="8" t="inlineStr">
        <is>
          <t>AoE</t>
        </is>
      </c>
      <c r="K15" s="11" t="n">
        <v>46309.83263888889</v>
      </c>
      <c r="L15" s="11" t="inlineStr">
        <is>
          <t>2026-11-14</t>
        </is>
      </c>
      <c r="M15" s="8">
        <f>IF(ISNUMBER(H15),IF(H15&gt;'_轮次'!$A$1,"未截止","已截止"),"TBD")</f>
        <v/>
      </c>
      <c r="N15" s="8">
        <f>IF(ISNUMBER(H15),IF(H15&gt;'_轮次'!$A$1,INT(H15-'_轮次'!$A$1),"—"),"—")</f>
        <v/>
      </c>
      <c r="O15" s="12" t="inlineStr">
        <is>
          <t>August 1-5, 2027</t>
        </is>
      </c>
      <c r="P15" s="10" t="inlineStr">
        <is>
          <t>San Jose, California, USA</t>
        </is>
      </c>
      <c r="Q15" s="8" t="inlineStr">
        <is>
          <t>线下</t>
        </is>
      </c>
      <c r="R15" s="12" t="inlineStr">
        <is>
          <t>必须到场</t>
        </is>
      </c>
      <c r="S15" s="10" t="inlineStr">
        <is>
          <t>待确认</t>
        </is>
      </c>
      <c r="T15" s="8" t="n">
        <v>7</v>
      </c>
      <c r="U15" s="8" t="inlineStr">
        <is>
          <t>每届</t>
        </is>
      </c>
      <c r="V15" s="10" t="inlineStr">
        <is>
          <t>硬性｜须提名 1 名合格审稿人（KDD 等≥3 篇）</t>
        </is>
      </c>
      <c r="W15" s="8" t="inlineStr">
        <is>
          <t>已核实</t>
        </is>
      </c>
      <c r="X15" s="10" t="inlineStr">
        <is>
          <t>—</t>
        </is>
      </c>
      <c r="Y15" s="12" t="inlineStr">
        <is>
          <t>https://kdd2027.kdd.org/</t>
        </is>
      </c>
      <c r="Z15" s="10" t="inlineStr">
        <is>
          <t>研究轨与 Applied Data Science 轨分开投；核查:第一轮；每轮每作者最多7篇，第二轮日期未公布</t>
        </is>
      </c>
    </row>
    <row r="16" ht="32" customHeight="1">
      <c r="A16" s="2" t="n">
        <v>15</v>
      </c>
      <c r="B16" s="3" t="inlineStr">
        <is>
          <t>SIGMOD</t>
        </is>
      </c>
      <c r="C16" s="4" t="inlineStr">
        <is>
          <t>ACM Conference on Management of Data</t>
        </is>
      </c>
      <c r="D16" s="4" t="inlineStr">
        <is>
          <t>数据库第一大会，数据系统/存储引擎/事务与查询处理，系统实现重</t>
        </is>
      </c>
      <c r="E16" s="2" t="inlineStr">
        <is>
          <t>数据库/数据挖掘</t>
        </is>
      </c>
      <c r="F16" s="5" t="inlineStr">
        <is>
          <t>A</t>
        </is>
      </c>
      <c r="G16" s="6">
        <f>IF(ISNUMBER(H16),IF(N(INDEX('_轮次'!$N$16:$Y$16,MATCH(H16,'_轮次'!$B$16:$M$16,0)))=0,"—",INDEX('_轮次'!$N$16:$Y$16,MATCH(H16,'_轮次'!$B$16:$M$16,0))),"—")</f>
        <v/>
      </c>
      <c r="H16" s="6">
        <f>IF(COUNT('_轮次'!$B$16:$M$16)=0,"待公布",IF(COUNTIF('_轮次'!$B$16:$M$16,"&gt;"&amp;'_轮次'!$A$1)&gt;0,SMALL('_轮次'!$B$16:$M$16,COUNTIF('_轮次'!$B$16:$M$16,"&lt;="&amp;'_轮次'!$A$1)+1),MAX('_轮次'!$B$16:$M$16)))</f>
        <v/>
      </c>
      <c r="I16" s="7">
        <f>IF(ISNUMBER(H16),INDEX('_轮次'!$AX$16:$BI$16,MATCH(H16,'_轮次'!$B$16:$M$16,0)),"—")</f>
        <v/>
      </c>
      <c r="J16" s="2" t="inlineStr">
        <is>
          <t>AoE</t>
        </is>
      </c>
      <c r="K16" s="6">
        <f>IF(ISNUMBER(H16),IF(N(INDEX('_轮次'!$Z$16:$AK$16,MATCH(H16,'_轮次'!$B$16:$M$16,0)))=0,"—",INDEX('_轮次'!$Z$16:$AK$16,MATCH(H16,'_轮次'!$B$16:$M$16,0))),"—")</f>
        <v/>
      </c>
      <c r="L16" s="6">
        <f>IF(ISNUMBER(H16),IF(N(INDEX('_轮次'!$AL$16:$AW$16,MATCH(H16,'_轮次'!$B$16:$M$16,0)))=0,"—",INDEX('_轮次'!$AL$16:$AW$16,MATCH(H16,'_轮次'!$B$16:$M$16,0))),"—")</f>
        <v/>
      </c>
      <c r="M16" s="2">
        <f>IF(ISNUMBER(H16),IF(H16&gt;'_轮次'!$A$1,"未截止","已截止"),"TBD")</f>
        <v/>
      </c>
      <c r="N16" s="2">
        <f>IF(ISNUMBER(H16),IF(H16&gt;'_轮次'!$A$1,INT(H16-'_轮次'!$A$1),"—"),"—")</f>
        <v/>
      </c>
      <c r="O16" s="7" t="inlineStr">
        <is>
          <t>June 13-19, 2027</t>
        </is>
      </c>
      <c r="P16" s="4" t="inlineStr">
        <is>
          <t>Huntington Beach, CA, USA</t>
        </is>
      </c>
      <c r="Q16" s="2" t="inlineStr">
        <is>
          <t>线下</t>
        </is>
      </c>
      <c r="R16" s="7" t="inlineStr">
        <is>
          <t>必须到场</t>
        </is>
      </c>
      <c r="S16" s="4" t="inlineStr">
        <is>
          <t>待确认</t>
        </is>
      </c>
      <c r="T16" s="2" t="n">
        <v>10</v>
      </c>
      <c r="U16" s="2" t="inlineStr">
        <is>
          <t>每届</t>
        </is>
      </c>
      <c r="V16" s="4" t="inlineStr">
        <is>
          <t>未找到</t>
        </is>
      </c>
      <c r="W16" s="2" t="inlineStr">
        <is>
          <t>已核实</t>
        </is>
      </c>
      <c r="X16" s="4" t="inlineStr">
        <is>
          <t>新人条款</t>
        </is>
      </c>
      <c r="Y16" s="7" t="inlineStr">
        <is>
          <t>https://2027.sigmod.org/</t>
        </is>
      </c>
      <c r="Z16" s="4" t="inlineStr">
        <is>
          <t>一年两轮投稿，PACMMOD 出版；核查:四轮截稿，取末轮R4；终审通知2027-03-12；全部轮次 round 1:2026-01-18 / round 2:2026-04-18 / round 3:2026-07-18 / round 4:2026-10-18</t>
        </is>
      </c>
    </row>
    <row r="17" ht="32" customHeight="1">
      <c r="A17" s="8" t="n">
        <v>16</v>
      </c>
      <c r="B17" s="9" t="inlineStr">
        <is>
          <t>VLDB</t>
        </is>
      </c>
      <c r="C17" s="10" t="inlineStr">
        <is>
          <t>International Conference on Very Large Data Bases</t>
        </is>
      </c>
      <c r="D17" s="10" t="inlineStr">
        <is>
          <t>数据库与数据管理顶会，系统/存储/查询/新型硬件，工业论文占比高</t>
        </is>
      </c>
      <c r="E17" s="8" t="inlineStr">
        <is>
          <t>数据库/数据挖掘</t>
        </is>
      </c>
      <c r="F17" s="5" t="inlineStr">
        <is>
          <t>A</t>
        </is>
      </c>
      <c r="G17" s="11">
        <f>IF(ISNUMBER(H17),IF(N(INDEX('_轮次'!$N$17:$Y$17,MATCH(H17,'_轮次'!$B$17:$M$17,0)))=0,"—",INDEX('_轮次'!$N$17:$Y$17,MATCH(H17,'_轮次'!$B$17:$M$17,0))),"—")</f>
        <v/>
      </c>
      <c r="H17" s="11">
        <f>IF(COUNT('_轮次'!$B$17:$M$17)=0,"待公布",IF(COUNTIF('_轮次'!$B$17:$M$17,"&gt;"&amp;'_轮次'!$A$1)&gt;0,SMALL('_轮次'!$B$17:$M$17,COUNTIF('_轮次'!$B$17:$M$17,"&lt;="&amp;'_轮次'!$A$1)+1),MAX('_轮次'!$B$17:$M$17)))</f>
        <v/>
      </c>
      <c r="I17" s="12">
        <f>IF(ISNUMBER(H17),INDEX('_轮次'!$AX$17:$BI$17,MATCH(H17,'_轮次'!$B$17:$M$17,0)),"—")</f>
        <v/>
      </c>
      <c r="J17" s="8" t="inlineStr">
        <is>
          <t>PT</t>
        </is>
      </c>
      <c r="K17" s="11">
        <f>IF(ISNUMBER(H17),IF(N(INDEX('_轮次'!$Z$17:$AK$17,MATCH(H17,'_轮次'!$B$17:$M$17,0)))=0,"—",INDEX('_轮次'!$Z$17:$AK$17,MATCH(H17,'_轮次'!$B$17:$M$17,0))),"—")</f>
        <v/>
      </c>
      <c r="L17" s="11">
        <f>IF(ISNUMBER(H17),IF(N(INDEX('_轮次'!$AL$17:$AW$17,MATCH(H17,'_轮次'!$B$17:$M$17,0)))=0,"—",INDEX('_轮次'!$AL$17:$AW$17,MATCH(H17,'_轮次'!$B$17:$M$17,0))),"—")</f>
        <v/>
      </c>
      <c r="M17" s="8">
        <f>IF(ISNUMBER(H17),IF(H17&gt;'_轮次'!$A$1,"未截止","已截止"),"TBD")</f>
        <v/>
      </c>
      <c r="N17" s="8">
        <f>IF(ISNUMBER(H17),IF(H17&gt;'_轮次'!$A$1,INT(H17-'_轮次'!$A$1),"—"),"—")</f>
        <v/>
      </c>
      <c r="O17" s="12" t="inlineStr">
        <is>
          <t>August 23 - August 27, 2027</t>
        </is>
      </c>
      <c r="P17" s="10" t="inlineStr">
        <is>
          <t>Athens, Greece</t>
        </is>
      </c>
      <c r="Q17" s="8" t="inlineStr">
        <is>
          <t>线下</t>
        </is>
      </c>
      <c r="R17" s="12" t="inlineStr">
        <is>
          <t>必须到场</t>
        </is>
      </c>
      <c r="S17" s="10" t="inlineStr">
        <is>
          <t>待确认</t>
        </is>
      </c>
      <c r="T17" s="8" t="n">
        <v>12</v>
      </c>
      <c r="U17" s="8" t="inlineStr">
        <is>
          <t>每年（每月≤2）</t>
        </is>
      </c>
      <c r="V17" s="10" t="inlineStr">
        <is>
          <t>硬性｜须提名 1 名合格审稿人（VLDB 等≥2 篇）</t>
        </is>
      </c>
      <c r="W17" s="8" t="inlineStr">
        <is>
          <t>已核实</t>
        </is>
      </c>
      <c r="X17" s="10" t="inlineStr">
        <is>
          <t>—</t>
        </is>
      </c>
      <c r="Y17" s="12" t="inlineStr">
        <is>
          <t>https://www.vldb.org/2027/</t>
        </is>
      </c>
      <c r="Z17" s="10" t="inlineStr">
        <is>
          <t>按月滚动投稿，PVLDB 出版；核查:每月1日滚动截稿，此处取最终截稿日；全部轮次 轮:2026-04-02 / 轮:2026-05-02 / 轮:2026-06-02 / 轮:2026-07-02 / 轮:2026-08-02 / 轮:2026-09-02 / 轮:2026-10-02 / 轮:2026-11-02 / 轮:2026-12-02 / 轮:2027-01-02 / 轮:2027-02-02 / 轮:2027-03-02</t>
        </is>
      </c>
    </row>
    <row r="18" ht="32" customHeight="1">
      <c r="A18" s="2" t="n">
        <v>17</v>
      </c>
      <c r="B18" s="3" t="inlineStr">
        <is>
          <t>ASPLOS</t>
        </is>
      </c>
      <c r="C18" s="4" t="inlineStr">
        <is>
          <t>International Conference on Architectural Support for Programming Languages and Operating Systems</t>
        </is>
      </c>
      <c r="D18" s="4" t="inlineStr">
        <is>
          <t>系统结构顶会，体系结构/编译/操作系统交叉，硬件软件协同设计</t>
        </is>
      </c>
      <c r="E18" s="2" t="inlineStr">
        <is>
          <t>体系结构/并行/存储</t>
        </is>
      </c>
      <c r="F18" s="5" t="inlineStr">
        <is>
          <t>A</t>
        </is>
      </c>
      <c r="G18" s="6">
        <f>IF(ISNUMBER(H18),IF(N(INDEX('_轮次'!$N$18:$Y$18,MATCH(H18,'_轮次'!$B$18:$M$18,0)))=0,"—",INDEX('_轮次'!$N$18:$Y$18,MATCH(H18,'_轮次'!$B$18:$M$18,0))),"—")</f>
        <v/>
      </c>
      <c r="H18" s="6">
        <f>IF(COUNT('_轮次'!$B$18:$M$18)=0,"待公布",IF(COUNTIF('_轮次'!$B$18:$M$18,"&gt;"&amp;'_轮次'!$A$1)&gt;0,SMALL('_轮次'!$B$18:$M$18,COUNTIF('_轮次'!$B$18:$M$18,"&lt;="&amp;'_轮次'!$A$1)+1),MAX('_轮次'!$B$18:$M$18)))</f>
        <v/>
      </c>
      <c r="I18" s="7">
        <f>IF(ISNUMBER(H18),INDEX('_轮次'!$AX$18:$BI$18,MATCH(H18,'_轮次'!$B$18:$M$18,0)),"—")</f>
        <v/>
      </c>
      <c r="J18" s="2" t="inlineStr">
        <is>
          <t>AoE</t>
        </is>
      </c>
      <c r="K18" s="6">
        <f>IF(ISNUMBER(H18),IF(N(INDEX('_轮次'!$Z$18:$AK$18,MATCH(H18,'_轮次'!$B$18:$M$18,0)))=0,"—",INDEX('_轮次'!$Z$18:$AK$18,MATCH(H18,'_轮次'!$B$18:$M$18,0))),"—")</f>
        <v/>
      </c>
      <c r="L18" s="6">
        <f>IF(ISNUMBER(H18),IF(N(INDEX('_轮次'!$AL$18:$AW$18,MATCH(H18,'_轮次'!$B$18:$M$18,0)))=0,"—",INDEX('_轮次'!$AL$18:$AW$18,MATCH(H18,'_轮次'!$B$18:$M$18,0))),"—")</f>
        <v/>
      </c>
      <c r="M18" s="2">
        <f>IF(ISNUMBER(H18),IF(H18&gt;'_轮次'!$A$1,"未截止","已截止"),"TBD")</f>
        <v/>
      </c>
      <c r="N18" s="2">
        <f>IF(ISNUMBER(H18),IF(H18&gt;'_轮次'!$A$1,INT(H18-'_轮次'!$A$1),"—"),"—")</f>
        <v/>
      </c>
      <c r="O18" s="7" t="inlineStr">
        <is>
          <t>April 11-15, 2027</t>
        </is>
      </c>
      <c r="P18" s="4" t="inlineStr">
        <is>
          <t>Crete, Greece</t>
        </is>
      </c>
      <c r="Q18" s="2" t="inlineStr">
        <is>
          <t>线下</t>
        </is>
      </c>
      <c r="R18" s="7" t="inlineStr">
        <is>
          <t>必须到场</t>
        </is>
      </c>
      <c r="S18" s="4" t="inlineStr">
        <is>
          <t>待确认</t>
        </is>
      </c>
      <c r="T18" s="2" t="n">
        <v>4</v>
      </c>
      <c r="U18" s="2" t="inlineStr">
        <is>
          <t>每届</t>
        </is>
      </c>
      <c r="V18" s="4" t="inlineStr">
        <is>
          <t>无专属条款</t>
        </is>
      </c>
      <c r="W18" s="2" t="inlineStr">
        <is>
          <t>已核实</t>
        </is>
      </c>
      <c r="X18" s="4" t="inlineStr">
        <is>
          <t>—</t>
        </is>
      </c>
      <c r="Y18" s="7" t="inlineStr">
        <is>
          <t>https://www.asplos-conference.org/asplos2027/cfp/</t>
        </is>
      </c>
      <c r="Z18" s="4" t="inlineStr">
        <is>
          <t>一年两轮截稿，ACM 出版；核查:两轮截稿(4/15、9/9)，此处取九月周期；全部轮次 April Cycle Submission Deadline:2026-04-16 / September Cycle Submission Deadline:2026-09-10</t>
        </is>
      </c>
    </row>
    <row r="19" ht="32" customHeight="1">
      <c r="A19" s="8" t="n">
        <v>18</v>
      </c>
      <c r="B19" s="9" t="inlineStr">
        <is>
          <t>DAC</t>
        </is>
      </c>
      <c r="C19" s="10" t="inlineStr">
        <is>
          <t>Design Automation Conference</t>
        </is>
      </c>
      <c r="D19" s="10" t="inlineStr">
        <is>
          <t>EDA 领域第一会，芯片设计/验证/物理设计为主，兼收 AI 加速器与硬件安全</t>
        </is>
      </c>
      <c r="E19" s="8" t="inlineStr">
        <is>
          <t>体系结构/并行/存储</t>
        </is>
      </c>
      <c r="F19" s="5" t="inlineStr">
        <is>
          <t>A</t>
        </is>
      </c>
      <c r="G19" s="11" t="n">
        <v>46338.375</v>
      </c>
      <c r="H19" s="11" t="n">
        <v>46345.375</v>
      </c>
      <c r="I19" s="12" t="inlineStr">
        <is>
          <t>单轮</t>
        </is>
      </c>
      <c r="J19" s="8" t="inlineStr">
        <is>
          <t>UTC-8</t>
        </is>
      </c>
      <c r="K19" s="11" t="inlineStr">
        <is>
          <t>—</t>
        </is>
      </c>
      <c r="L19" s="11" t="inlineStr">
        <is>
          <t>2027-03-08</t>
        </is>
      </c>
      <c r="M19" s="8">
        <f>IF(ISNUMBER(H19),IF(H19&gt;'_轮次'!$A$1,"未截止","已截止"),"TBD")</f>
        <v/>
      </c>
      <c r="N19" s="8">
        <f>IF(ISNUMBER(H19),IF(H19&gt;'_轮次'!$A$1,INT(H19-'_轮次'!$A$1),"—"),"—")</f>
        <v/>
      </c>
      <c r="O19" s="12" t="inlineStr">
        <is>
          <t>July 11-14, 2027</t>
        </is>
      </c>
      <c r="P19" s="10" t="inlineStr">
        <is>
          <t>San Jose, CA</t>
        </is>
      </c>
      <c r="Q19" s="8" t="inlineStr">
        <is>
          <t>线下</t>
        </is>
      </c>
      <c r="R19" s="12" t="inlineStr">
        <is>
          <t>必须到场</t>
        </is>
      </c>
      <c r="S19" s="10" t="inlineStr">
        <is>
          <t>待确认</t>
        </is>
      </c>
      <c r="T19" s="8" t="inlineStr">
        <is>
          <t>不限</t>
        </is>
      </c>
      <c r="U19" s="8" t="inlineStr">
        <is>
          <t>—</t>
        </is>
      </c>
      <c r="V19" s="10" t="inlineStr">
        <is>
          <t>无专属条款</t>
        </is>
      </c>
      <c r="W19" s="8" t="inlineStr">
        <is>
          <t>已核实</t>
        </is>
      </c>
      <c r="X19" s="10" t="inlineStr">
        <is>
          <t>—</t>
        </is>
      </c>
      <c r="Y19" s="12" t="inlineStr">
        <is>
          <t>https://dac.com/2027/authors/call-for-contributions</t>
        </is>
      </c>
      <c r="Z19" s="10" t="inlineStr">
        <is>
          <t>工业界参与度高，有设计竞赛与展览；核查:摘要2026-11-11；须注册并现场海报报告</t>
        </is>
      </c>
    </row>
    <row r="20" ht="32" customHeight="1">
      <c r="A20" s="2" t="n">
        <v>19</v>
      </c>
      <c r="B20" s="3" t="inlineStr">
        <is>
          <t>EuroSys</t>
        </is>
      </c>
      <c r="C20" s="4" t="inlineStr">
        <is>
          <t>European Conference on Computer Systems</t>
        </is>
      </c>
      <c r="D20" s="4" t="inlineStr">
        <is>
          <t>欧洲系统顶会，操作系统/分布式/云与虚拟化，重工程实现与真实测量</t>
        </is>
      </c>
      <c r="E20" s="2" t="inlineStr">
        <is>
          <t>体系结构/并行/存储</t>
        </is>
      </c>
      <c r="F20" s="5" t="inlineStr">
        <is>
          <t>A</t>
        </is>
      </c>
      <c r="G20" s="6">
        <f>IF(ISNUMBER(H20),IF(N(INDEX('_轮次'!$N$20:$Y$20,MATCH(H20,'_轮次'!$B$20:$M$20,0)))=0,"—",INDEX('_轮次'!$N$20:$Y$20,MATCH(H20,'_轮次'!$B$20:$M$20,0))),"—")</f>
        <v/>
      </c>
      <c r="H20" s="6">
        <f>IF(COUNT('_轮次'!$B$20:$M$20)=0,"待公布",IF(COUNTIF('_轮次'!$B$20:$M$20,"&gt;"&amp;'_轮次'!$A$1)&gt;0,SMALL('_轮次'!$B$20:$M$20,COUNTIF('_轮次'!$B$20:$M$20,"&lt;="&amp;'_轮次'!$A$1)+1),MAX('_轮次'!$B$20:$M$20)))</f>
        <v/>
      </c>
      <c r="I20" s="7">
        <f>IF(ISNUMBER(H20),INDEX('_轮次'!$AX$20:$BI$20,MATCH(H20,'_轮次'!$B$20:$M$20,0)),"—")</f>
        <v/>
      </c>
      <c r="J20" s="2" t="inlineStr">
        <is>
          <t>AoE</t>
        </is>
      </c>
      <c r="K20" s="6">
        <f>IF(ISNUMBER(H20),IF(N(INDEX('_轮次'!$Z$20:$AK$20,MATCH(H20,'_轮次'!$B$20:$M$20,0)))=0,"—",INDEX('_轮次'!$Z$20:$AK$20,MATCH(H20,'_轮次'!$B$20:$M$20,0))),"—")</f>
        <v/>
      </c>
      <c r="L20" s="6">
        <f>IF(ISNUMBER(H20),IF(N(INDEX('_轮次'!$AL$20:$AW$20,MATCH(H20,'_轮次'!$B$20:$M$20,0)))=0,"—",INDEX('_轮次'!$AL$20:$AW$20,MATCH(H20,'_轮次'!$B$20:$M$20,0))),"—")</f>
        <v/>
      </c>
      <c r="M20" s="2">
        <f>IF(ISNUMBER(H20),IF(H20&gt;'_轮次'!$A$1,"未截止","已截止"),"TBD")</f>
        <v/>
      </c>
      <c r="N20" s="2">
        <f>IF(ISNUMBER(H20),IF(H20&gt;'_轮次'!$A$1,INT(H20-'_轮次'!$A$1),"—"),"—")</f>
        <v/>
      </c>
      <c r="O20" s="7" t="inlineStr">
        <is>
          <t>April 19-23, 2027</t>
        </is>
      </c>
      <c r="P20" s="4" t="inlineStr">
        <is>
          <t>Rabat, Morocco</t>
        </is>
      </c>
      <c r="Q20" s="2" t="inlineStr">
        <is>
          <t>线下</t>
        </is>
      </c>
      <c r="R20" s="7" t="inlineStr">
        <is>
          <t>必须到场</t>
        </is>
      </c>
      <c r="S20" s="4" t="inlineStr">
        <is>
          <t>待确认</t>
        </is>
      </c>
      <c r="T20" s="2" t="n">
        <v>3</v>
      </c>
      <c r="U20" s="2" t="inlineStr">
        <is>
          <t>每届</t>
        </is>
      </c>
      <c r="V20" s="4" t="inlineStr">
        <is>
          <t>无专属条款</t>
        </is>
      </c>
      <c r="W20" s="2" t="inlineStr">
        <is>
          <t>已核实</t>
        </is>
      </c>
      <c r="X20" s="4" t="inlineStr">
        <is>
          <t>—</t>
        </is>
      </c>
      <c r="Y20" s="7" t="inlineStr">
        <is>
          <t>https://2027.eurosys.org/</t>
        </is>
      </c>
      <c r="Z20" s="4" t="inlineStr">
        <is>
          <t>看重可复现性，鼓励 artifact 提交；核查:春秋两轮，取秋季轮；每篇需一份全费注册；全部轮次 Spring Submission Deadline:2026-05-15 / Fall Submission Deadline:2026-09-25</t>
        </is>
      </c>
    </row>
    <row r="21" ht="32" customHeight="1">
      <c r="A21" s="8" t="n">
        <v>20</v>
      </c>
      <c r="B21" s="9" t="inlineStr">
        <is>
          <t>FAST</t>
        </is>
      </c>
      <c r="C21" s="10" t="inlineStr">
        <is>
          <t>USENIX Conference on File and Storage Technologies</t>
        </is>
      </c>
      <c r="D21" s="10" t="inlineStr">
        <is>
          <t>存储领域第一会，文件系统/闪存/分布式存储，重实测与可复现性</t>
        </is>
      </c>
      <c r="E21" s="8" t="inlineStr">
        <is>
          <t>体系结构/并行/存储</t>
        </is>
      </c>
      <c r="F21" s="5" t="inlineStr">
        <is>
          <t>A</t>
        </is>
      </c>
      <c r="G21" s="11">
        <f>IF(ISNUMBER(H21),IF(N(INDEX('_轮次'!$N$21:$Y$21,MATCH(H21,'_轮次'!$B$21:$M$21,0)))=0,"—",INDEX('_轮次'!$N$21:$Y$21,MATCH(H21,'_轮次'!$B$21:$M$21,0))),"—")</f>
        <v/>
      </c>
      <c r="H21" s="11">
        <f>IF(COUNT('_轮次'!$B$21:$M$21)=0,"待公布",IF(COUNTIF('_轮次'!$B$21:$M$21,"&gt;"&amp;'_轮次'!$A$1)&gt;0,SMALL('_轮次'!$B$21:$M$21,COUNTIF('_轮次'!$B$21:$M$21,"&lt;="&amp;'_轮次'!$A$1)+1),MAX('_轮次'!$B$21:$M$21)))</f>
        <v/>
      </c>
      <c r="I21" s="12">
        <f>IF(ISNUMBER(H21),INDEX('_轮次'!$AX$21:$BI$21,MATCH(H21,'_轮次'!$B$21:$M$21,0)),"—")</f>
        <v/>
      </c>
      <c r="J21" s="8" t="inlineStr">
        <is>
          <t>AoE</t>
        </is>
      </c>
      <c r="K21" s="11">
        <f>IF(ISNUMBER(H21),IF(N(INDEX('_轮次'!$Z$21:$AK$21,MATCH(H21,'_轮次'!$B$21:$M$21,0)))=0,"—",INDEX('_轮次'!$Z$21:$AK$21,MATCH(H21,'_轮次'!$B$21:$M$21,0))),"—")</f>
        <v/>
      </c>
      <c r="L21" s="11">
        <f>IF(ISNUMBER(H21),IF(N(INDEX('_轮次'!$AL$21:$AW$21,MATCH(H21,'_轮次'!$B$21:$M$21,0)))=0,"—",INDEX('_轮次'!$AL$21:$AW$21,MATCH(H21,'_轮次'!$B$21:$M$21,0))),"—")</f>
        <v/>
      </c>
      <c r="M21" s="8">
        <f>IF(ISNUMBER(H21),IF(H21&gt;'_轮次'!$A$1,"未截止","已截止"),"TBD")</f>
        <v/>
      </c>
      <c r="N21" s="8">
        <f>IF(ISNUMBER(H21),IF(H21&gt;'_轮次'!$A$1,INT(H21-'_轮次'!$A$1),"—"),"—")</f>
        <v/>
      </c>
      <c r="O21" s="12" t="inlineStr">
        <is>
          <t>FEBRUARY 23-25, 2027</t>
        </is>
      </c>
      <c r="P21" s="10" t="inlineStr">
        <is>
          <t>Renton, WA, USA</t>
        </is>
      </c>
      <c r="Q21" s="8" t="inlineStr">
        <is>
          <t>线下</t>
        </is>
      </c>
      <c r="R21" s="12" t="inlineStr">
        <is>
          <t>必须到场</t>
        </is>
      </c>
      <c r="S21" s="10" t="inlineStr">
        <is>
          <t>无线上报告选项</t>
        </is>
      </c>
      <c r="T21" s="8" t="inlineStr">
        <is>
          <t>不限</t>
        </is>
      </c>
      <c r="U21" s="8" t="inlineStr">
        <is>
          <t>—</t>
        </is>
      </c>
      <c r="V21" s="10" t="inlineStr">
        <is>
          <t>利好｜通道 WIP/Posters、Mentoring（均设联合主席）</t>
        </is>
      </c>
      <c r="W21" s="8" t="inlineStr">
        <is>
          <t>已核实</t>
        </is>
      </c>
      <c r="X21" s="10" t="inlineStr">
        <is>
          <t>—</t>
        </is>
      </c>
      <c r="Y21" s="12" t="inlineStr">
        <is>
          <t>https://www.usenix.org/conference/fast27</t>
        </is>
      </c>
      <c r="Z21" s="10" t="inlineStr">
        <is>
          <t>USENIX 体系，录用后需提交 artifact；核查:春秋两轮，取秋季轮；无独立摘要截稿；全部轮次 Spring deadline:2026-03-18 / Fall deadline:2026-09-16</t>
        </is>
      </c>
    </row>
    <row r="22" ht="32" customHeight="1">
      <c r="A22" s="2" t="n">
        <v>21</v>
      </c>
      <c r="B22" s="3" t="inlineStr">
        <is>
          <t>HPCA</t>
        </is>
      </c>
      <c r="C22" s="4" t="inlineStr">
        <is>
          <t>IEEE International Symposium on High-Performance Computer Architecture</t>
        </is>
      </c>
      <c r="D22" s="4" t="inlineStr">
        <is>
          <t>体系结构三大顶会之一，处理器/缓存/加速器微架构，重创新与仿真评估</t>
        </is>
      </c>
      <c r="E22" s="2" t="inlineStr">
        <is>
          <t>体系结构/并行/存储</t>
        </is>
      </c>
      <c r="F22" s="5" t="inlineStr">
        <is>
          <t>A</t>
        </is>
      </c>
      <c r="G22" s="6" t="n">
        <v>46228.83263888889</v>
      </c>
      <c r="H22" s="6" t="n">
        <v>46235.83263888889</v>
      </c>
      <c r="I22" s="7" t="inlineStr">
        <is>
          <t>单轮</t>
        </is>
      </c>
      <c r="J22" s="2" t="inlineStr">
        <is>
          <t>AoE</t>
        </is>
      </c>
      <c r="K22" s="6" t="n">
        <v>46307.83263888889</v>
      </c>
      <c r="L22" s="6" t="inlineStr">
        <is>
          <t>2026-11-06</t>
        </is>
      </c>
      <c r="M22" s="2">
        <f>IF(ISNUMBER(H22),IF(H22&gt;'_轮次'!$A$1,"未截止","已截止"),"TBD")</f>
        <v/>
      </c>
      <c r="N22" s="2">
        <f>IF(ISNUMBER(H22),IF(H22&gt;'_轮次'!$A$1,INT(H22-'_轮次'!$A$1),"—"),"—")</f>
        <v/>
      </c>
      <c r="O22" s="7" t="inlineStr">
        <is>
          <t>March 20-24, 2027</t>
        </is>
      </c>
      <c r="P22" s="4" t="inlineStr">
        <is>
          <t>Salt Lake City, Utah</t>
        </is>
      </c>
      <c r="Q22" s="2" t="inlineStr">
        <is>
          <t>线下</t>
        </is>
      </c>
      <c r="R22" s="7" t="inlineStr">
        <is>
          <t>必须到场</t>
        </is>
      </c>
      <c r="S22" s="4" t="inlineStr">
        <is>
          <t>待确认</t>
        </is>
      </c>
      <c r="T22" s="2" t="inlineStr">
        <is>
          <t>不限</t>
        </is>
      </c>
      <c r="U22" s="2" t="inlineStr">
        <is>
          <t>—</t>
        </is>
      </c>
      <c r="V22" s="4" t="inlineStr">
        <is>
          <t>硬性｜每篇须指定资深作者，或须任Light PC审稿≤6篇</t>
        </is>
      </c>
      <c r="W22" s="2" t="inlineStr">
        <is>
          <t>已核实</t>
        </is>
      </c>
      <c r="X22" s="4" t="inlineStr">
        <is>
          <t>—</t>
        </is>
      </c>
      <c r="Y22" s="7" t="inlineStr">
        <is>
          <t>https://conf.researchr.org/home/hpca-2027</t>
        </is>
      </c>
      <c r="Z22" s="4" t="inlineStr">
        <is>
          <t>与 ISCA、MICRO 合称体系结构三大会；核查:官网track页404，读SIGARCH官方CFP</t>
        </is>
      </c>
    </row>
    <row r="23" ht="32" customHeight="1">
      <c r="A23" s="8" t="n">
        <v>22</v>
      </c>
      <c r="B23" s="9" t="inlineStr">
        <is>
          <t>ISCA</t>
        </is>
      </c>
      <c r="C23" s="10" t="inlineStr">
        <is>
          <t>International Symposium on Computer Architecture</t>
        </is>
      </c>
      <c r="D23" s="10" t="inlineStr">
        <is>
          <t>最老牌体系结构顶会，CPU/内存/加速器架构，重开创性想法与量化评估</t>
        </is>
      </c>
      <c r="E23" s="8" t="inlineStr">
        <is>
          <t>体系结构/并行/存储</t>
        </is>
      </c>
      <c r="F23" s="5" t="inlineStr">
        <is>
          <t>A</t>
        </is>
      </c>
      <c r="G23" s="11" t="n">
        <v>46336.83263888889</v>
      </c>
      <c r="H23" s="11" t="n">
        <v>46343.83263888889</v>
      </c>
      <c r="I23" s="12" t="inlineStr">
        <is>
          <t>Main Track; rebuttal/revision period: February 16-March 8, 2027</t>
        </is>
      </c>
      <c r="J23" s="8" t="inlineStr">
        <is>
          <t>AoE</t>
        </is>
      </c>
      <c r="K23" s="11" t="n">
        <v>46455.83263888889</v>
      </c>
      <c r="L23" s="11" t="inlineStr">
        <is>
          <t>2027-03-26</t>
        </is>
      </c>
      <c r="M23" s="8">
        <f>IF(ISNUMBER(H23),IF(H23&gt;'_轮次'!$A$1,"未截止","已截止"),"TBD")</f>
        <v/>
      </c>
      <c r="N23" s="8">
        <f>IF(ISNUMBER(H23),IF(H23&gt;'_轮次'!$A$1,INT(H23-'_轮次'!$A$1),"—"),"—")</f>
        <v/>
      </c>
      <c r="O23" s="12" t="inlineStr">
        <is>
          <t>June 5-9, 2027</t>
        </is>
      </c>
      <c r="P23" s="10" t="inlineStr">
        <is>
          <t>Atlanta, Georgia, USA</t>
        </is>
      </c>
      <c r="Q23" s="8" t="inlineStr">
        <is>
          <t>线下</t>
        </is>
      </c>
      <c r="R23" s="12" t="inlineStr">
        <is>
          <t>必须到场</t>
        </is>
      </c>
      <c r="S23" s="10" t="inlineStr">
        <is>
          <t>待确认</t>
        </is>
      </c>
      <c r="T23" s="8" t="n">
        <v>8</v>
      </c>
      <c r="U23" s="8" t="inlineStr">
        <is>
          <t>每届</t>
        </is>
      </c>
      <c r="V23" s="10" t="inlineStr">
        <is>
          <t>硬性｜须指定资深作者任reserve reviewer；投超6篇须任PC</t>
        </is>
      </c>
      <c r="W23" s="8" t="inlineStr">
        <is>
          <t>已核实</t>
        </is>
      </c>
      <c r="X23" s="10" t="inlineStr">
        <is>
          <t>—</t>
        </is>
      </c>
      <c r="Y23" s="12" t="inlineStr">
        <is>
          <t>https://iscaconf.org/isca2027/</t>
        </is>
      </c>
      <c r="Z23" s="10" t="inlineStr">
        <is>
          <t>有 rebuttal 与作者答复环节；核查:摘要2026-11-09截止；CFP未写现场报告要求</t>
        </is>
      </c>
    </row>
    <row r="24" ht="32" customHeight="1">
      <c r="A24" s="2" t="n">
        <v>23</v>
      </c>
      <c r="B24" s="3" t="inlineStr">
        <is>
          <t>PPoPP</t>
        </is>
      </c>
      <c r="C24" s="4" t="inlineStr">
        <is>
          <t>ACM SIGPLAN Symposium on Principles &amp; Practice of Parallel Programming</t>
        </is>
      </c>
      <c r="D24" s="4" t="inlineStr">
        <is>
          <t>并行编程顶会，并行算法/运行时/编译优化与性能可移植性</t>
        </is>
      </c>
      <c r="E24" s="2" t="inlineStr">
        <is>
          <t>体系结构/并行/存储</t>
        </is>
      </c>
      <c r="F24" s="5" t="inlineStr">
        <is>
          <t>A</t>
        </is>
      </c>
      <c r="G24" s="6" t="inlineStr">
        <is>
          <t>—</t>
        </is>
      </c>
      <c r="H24" s="6" t="n">
        <v>46238.83263888889</v>
      </c>
      <c r="I24" s="7" t="inlineStr">
        <is>
          <t>单轮</t>
        </is>
      </c>
      <c r="J24" s="2" t="inlineStr">
        <is>
          <t>AoE</t>
        </is>
      </c>
      <c r="K24" s="6" t="inlineStr">
        <is>
          <t>—</t>
        </is>
      </c>
      <c r="L24" s="6" t="inlineStr">
        <is>
          <t>2026-10-26</t>
        </is>
      </c>
      <c r="M24" s="2">
        <f>IF(ISNUMBER(H24),IF(H24&gt;'_轮次'!$A$1,"未截止","已截止"),"TBD")</f>
        <v/>
      </c>
      <c r="N24" s="2">
        <f>IF(ISNUMBER(H24),IF(H24&gt;'_轮次'!$A$1,INT(H24-'_轮次'!$A$1),"—"),"—")</f>
        <v/>
      </c>
      <c r="O24" s="7" t="inlineStr">
        <is>
          <t>Mar 20-24, 2027</t>
        </is>
      </c>
      <c r="P24" s="4" t="inlineStr">
        <is>
          <t>Salt Lake City, Utah, USA</t>
        </is>
      </c>
      <c r="Q24" s="2" t="inlineStr">
        <is>
          <t>线下</t>
        </is>
      </c>
      <c r="R24" s="7" t="inlineStr">
        <is>
          <t>必须到场</t>
        </is>
      </c>
      <c r="S24" s="4" t="inlineStr">
        <is>
          <t>待确认</t>
        </is>
      </c>
      <c r="T24" s="2" t="inlineStr">
        <is>
          <t>不限</t>
        </is>
      </c>
      <c r="U24" s="2" t="inlineStr">
        <is>
          <t>—</t>
        </is>
      </c>
      <c r="V24" s="4" t="inlineStr">
        <is>
          <t>无专属条款</t>
        </is>
      </c>
      <c r="W24" s="2" t="inlineStr">
        <is>
          <t>已核实</t>
        </is>
      </c>
      <c r="X24" s="4" t="inlineStr">
        <is>
          <t>—</t>
        </is>
      </c>
      <c r="Y24" s="7" t="inlineStr">
        <is>
          <t>https://ppopp27.sigplan.org/</t>
        </is>
      </c>
      <c r="Z24" s="4" t="inlineStr">
        <is>
          <t>与 PPoPP 同期常有 CGO/HPCA 等联办；核查:通知日2026-10-26临近；官网首页未列日期</t>
        </is>
      </c>
    </row>
    <row r="25" ht="32" customHeight="1">
      <c r="A25" s="8" t="n">
        <v>24</v>
      </c>
      <c r="B25" s="9" t="inlineStr">
        <is>
          <t>CHI</t>
        </is>
      </c>
      <c r="C25" s="10" t="inlineStr">
        <is>
          <t>ACM Conference on Human Factors in Computing Systems</t>
        </is>
      </c>
      <c r="D25" s="10" t="inlineStr">
        <is>
          <t>人机交互第一大会，交互技术/用户研究/可访问性全覆盖，重人本价值</t>
        </is>
      </c>
      <c r="E25" s="8" t="inlineStr">
        <is>
          <t>人机交互与普适计算</t>
        </is>
      </c>
      <c r="F25" s="5" t="inlineStr">
        <is>
          <t>A</t>
        </is>
      </c>
      <c r="G25" s="11" t="inlineStr">
        <is>
          <t>—</t>
        </is>
      </c>
      <c r="H25" s="11" t="n">
        <v>46276.83263888889</v>
      </c>
      <c r="I25" s="12" t="inlineStr">
        <is>
          <t>单轮</t>
        </is>
      </c>
      <c r="J25" s="8" t="inlineStr">
        <is>
          <t>AoE</t>
        </is>
      </c>
      <c r="K25" s="11" t="n">
        <v>46360.83263888889</v>
      </c>
      <c r="L25" s="11" t="inlineStr">
        <is>
          <t>2026-12-17</t>
        </is>
      </c>
      <c r="M25" s="8">
        <f>IF(ISNUMBER(H25),IF(H25&gt;'_轮次'!$A$1,"未截止","已截止"),"TBD")</f>
        <v/>
      </c>
      <c r="N25" s="8">
        <f>IF(ISNUMBER(H25),IF(H25&gt;'_轮次'!$A$1,INT(H25-'_轮次'!$A$1),"—"),"—")</f>
        <v/>
      </c>
      <c r="O25" s="12" t="inlineStr">
        <is>
          <t>May 10 - 14, 2027</t>
        </is>
      </c>
      <c r="P25" s="10" t="inlineStr">
        <is>
          <t>David L. Lawrence Convention Center, Pittsburgh, USA</t>
        </is>
      </c>
      <c r="Q25" s="8" t="inlineStr">
        <is>
          <t>线下</t>
        </is>
      </c>
      <c r="R25" s="12" t="inlineStr">
        <is>
          <t>允许远程</t>
        </is>
      </c>
      <c r="S25" s="10" t="inlineStr">
        <is>
          <t>可交预录视频代替现场</t>
        </is>
      </c>
      <c r="T25" s="8" t="inlineStr">
        <is>
          <t>不限</t>
        </is>
      </c>
      <c r="U25" s="8" t="inlineStr">
        <is>
          <t>—</t>
        </is>
      </c>
      <c r="V25" s="10" t="inlineStr">
        <is>
          <t>硬性｜每篇须提名4人次审稿（RRP），须满足最低审稿资格</t>
        </is>
      </c>
      <c r="W25" s="8" t="inlineStr">
        <is>
          <t>已核实</t>
        </is>
      </c>
      <c r="X25" s="10" t="inlineStr">
        <is>
          <t>—</t>
        </is>
      </c>
      <c r="Y25" s="12" t="inlineStr">
        <is>
          <t>https://chi2027.acm.org/</t>
        </is>
      </c>
      <c r="Z25" s="10" t="inlineStr">
        <is>
          <t>投稿系统为 PCS，非常见四类系统；核查:至少一位作者须2027-03-04前注册</t>
        </is>
      </c>
    </row>
    <row r="26" ht="32" customHeight="1">
      <c r="A26" s="2" t="n">
        <v>25</v>
      </c>
      <c r="B26" s="3" t="inlineStr">
        <is>
          <t>UbiComp/ISWC</t>
        </is>
      </c>
      <c r="C26" s="4" t="inlineStr">
        <is>
          <t>ACM International Joint Conference on Pervasive and Ubiquitous Computing</t>
        </is>
      </c>
      <c r="D26" s="4" t="inlineStr">
        <is>
          <t>普适计算旗舰，可穿戴/传感/情境感知与移动健康，重真实场景部署</t>
        </is>
      </c>
      <c r="E26" s="2" t="inlineStr">
        <is>
          <t>人机交互与普适计算</t>
        </is>
      </c>
      <c r="F26" s="5" t="inlineStr">
        <is>
          <t>A</t>
        </is>
      </c>
      <c r="G26" s="6" t="inlineStr">
        <is>
          <t>—</t>
        </is>
      </c>
      <c r="H26" s="6" t="inlineStr">
        <is>
          <t>待公布</t>
        </is>
      </c>
      <c r="I26" s="7" t="inlineStr">
        <is>
          <t>—</t>
        </is>
      </c>
      <c r="J26" s="2" t="inlineStr">
        <is>
          <t>AoE</t>
        </is>
      </c>
      <c r="K26" s="6" t="inlineStr">
        <is>
          <t>—</t>
        </is>
      </c>
      <c r="L26" s="6" t="inlineStr">
        <is>
          <t>待公布</t>
        </is>
      </c>
      <c r="M26" s="2">
        <f>IF(ISNUMBER(H26),IF(H26&gt;'_轮次'!$A$1,"未截止","已截止"),"TBD")</f>
        <v/>
      </c>
      <c r="N26" s="2">
        <f>IF(ISNUMBER(H26),IF(H26&gt;'_轮次'!$A$1,INT(H26-'_轮次'!$A$1),"—"),"—")</f>
        <v/>
      </c>
      <c r="O26" s="7" t="inlineStr">
        <is>
          <t>October 3-7, 2027</t>
        </is>
      </c>
      <c r="P26" s="4" t="inlineStr">
        <is>
          <t>Seoul, Republic of Korea</t>
        </is>
      </c>
      <c r="Q26" s="2" t="inlineStr">
        <is>
          <t>线下</t>
        </is>
      </c>
      <c r="R26" s="7" t="inlineStr">
        <is>
          <t>待确认</t>
        </is>
      </c>
      <c r="S26" s="4" t="inlineStr">
        <is>
          <t>待确认</t>
        </is>
      </c>
      <c r="T26" s="2" t="inlineStr">
        <is>
          <t>不限</t>
        </is>
      </c>
      <c r="U26" s="2" t="inlineStr">
        <is>
          <t>—</t>
        </is>
      </c>
      <c r="V26" s="4" t="inlineStr">
        <is>
          <t>CFP未发布</t>
        </is>
      </c>
      <c r="W26" s="2" t="inlineStr">
        <is>
          <t>2027CFP未发布</t>
        </is>
      </c>
      <c r="X26" s="4" t="inlineStr">
        <is>
          <t>截稿日、是否到场、新人条款</t>
        </is>
      </c>
      <c r="Y26" s="7" t="inlineStr">
        <is>
          <t>https://sigchi.org/events/ubicomp-2027/</t>
        </is>
      </c>
      <c r="Z26" s="4" t="inlineStr">
        <is>
          <t>论文经 PACM IMWUT 期刊通道录用；核查:官网仅公布会期2027-10-03至10-07，无CFP</t>
        </is>
      </c>
    </row>
    <row r="27" ht="32" customHeight="1">
      <c r="A27" s="8" t="n">
        <v>26</v>
      </c>
      <c r="B27" s="9" t="inlineStr">
        <is>
          <t>WWW</t>
        </is>
      </c>
      <c r="C27" s="10" t="inlineStr">
        <is>
          <t>International World Wide Web Conferences</t>
        </is>
      </c>
      <c r="D27" s="10" t="inlineStr">
        <is>
          <t>万维网旗舰会，信息检索/推荐/图挖掘/Web 系统，重数据规模与在线效果</t>
        </is>
      </c>
      <c r="E27" s="8" t="inlineStr">
        <is>
          <t>交叉/综合/新兴</t>
        </is>
      </c>
      <c r="F27" s="5" t="inlineStr">
        <is>
          <t>A</t>
        </is>
      </c>
      <c r="G27" s="11" t="n">
        <v>46314.83263888889</v>
      </c>
      <c r="H27" s="11" t="n">
        <v>46321.83263888889</v>
      </c>
      <c r="I27" s="12" t="inlineStr">
        <is>
          <t>单轮</t>
        </is>
      </c>
      <c r="J27" s="8" t="inlineStr">
        <is>
          <t>AoE</t>
        </is>
      </c>
      <c r="K27" s="11" t="inlineStr">
        <is>
          <t>—</t>
        </is>
      </c>
      <c r="L27" s="11" t="inlineStr">
        <is>
          <t>2027-01-04</t>
        </is>
      </c>
      <c r="M27" s="8">
        <f>IF(ISNUMBER(H27),IF(H27&gt;'_轮次'!$A$1,"未截止","已截止"),"TBD")</f>
        <v/>
      </c>
      <c r="N27" s="8">
        <f>IF(ISNUMBER(H27),IF(H27&gt;'_轮次'!$A$1,INT(H27-'_轮次'!$A$1),"—"),"—")</f>
        <v/>
      </c>
      <c r="O27" s="12" t="inlineStr">
        <is>
          <t>May 10 - 14, 2027</t>
        </is>
      </c>
      <c r="P27" s="10" t="inlineStr">
        <is>
          <t>Dublin, Ireland</t>
        </is>
      </c>
      <c r="Q27" s="8" t="inlineStr">
        <is>
          <t>线下</t>
        </is>
      </c>
      <c r="R27" s="12" t="inlineStr">
        <is>
          <t>必须到场</t>
        </is>
      </c>
      <c r="S27" s="10" t="inlineStr">
        <is>
          <t>口头可酌情线上，海报须现场</t>
        </is>
      </c>
      <c r="T27" s="8" t="n">
        <v>7</v>
      </c>
      <c r="U27" s="8" t="inlineStr">
        <is>
          <t>每届</t>
        </is>
      </c>
      <c r="V27" s="10" t="inlineStr">
        <is>
          <t>硬性｜作者须加入审稿委员会并按时审稿，否则可被拒</t>
        </is>
      </c>
      <c r="W27" s="8" t="inlineStr">
        <is>
          <t>已核实</t>
        </is>
      </c>
      <c r="X27" s="10" t="inlineStr">
        <is>
          <t>—</t>
        </is>
      </c>
      <c r="Y27" s="12" t="inlineStr">
        <is>
          <t>https://www2027.thewebconf.org/</t>
        </is>
      </c>
      <c r="Z27" s="10" t="inlineStr">
        <is>
          <t>分 research/industry 多个 track；核查:摘要2026-10-18；每类投稿每人限7篇</t>
        </is>
      </c>
    </row>
    <row r="28" ht="32" customHeight="1">
      <c r="A28" s="2" t="n">
        <v>27</v>
      </c>
      <c r="B28" s="3" t="inlineStr">
        <is>
          <t>INFOCOM</t>
        </is>
      </c>
      <c r="C28" s="4" t="inlineStr">
        <is>
          <t>IEEE International Conference on Computer Communications</t>
        </is>
      </c>
      <c r="D28" s="4" t="inlineStr">
        <is>
          <t>计算机网络两大顶会之一，协议/无线/数据中心网络，重建模分析与仿真</t>
        </is>
      </c>
      <c r="E28" s="2" t="inlineStr">
        <is>
          <t>计算机网络</t>
        </is>
      </c>
      <c r="F28" s="5" t="inlineStr">
        <is>
          <t>A</t>
        </is>
      </c>
      <c r="G28" s="6" t="n">
        <v>46228.83263888889</v>
      </c>
      <c r="H28" s="6" t="n">
        <v>46235.83263888889</v>
      </c>
      <c r="I28" s="7" t="inlineStr">
        <is>
          <t>单轮</t>
        </is>
      </c>
      <c r="J28" s="2" t="inlineStr">
        <is>
          <t>AoE</t>
        </is>
      </c>
      <c r="K28" s="6" t="inlineStr">
        <is>
          <t>—</t>
        </is>
      </c>
      <c r="L28" s="6" t="inlineStr">
        <is>
          <t>2026-12-08</t>
        </is>
      </c>
      <c r="M28" s="2">
        <f>IF(ISNUMBER(H28),IF(H28&gt;'_轮次'!$A$1,"未截止","已截止"),"TBD")</f>
        <v/>
      </c>
      <c r="N28" s="2">
        <f>IF(ISNUMBER(H28),IF(H28&gt;'_轮次'!$A$1,INT(H28-'_轮次'!$A$1),"—"),"—")</f>
        <v/>
      </c>
      <c r="O28" s="7" t="inlineStr">
        <is>
          <t>May 24 - 27, 2027</t>
        </is>
      </c>
      <c r="P28" s="4" t="inlineStr">
        <is>
          <t>Honolulu, HI, USA</t>
        </is>
      </c>
      <c r="Q28" s="2" t="inlineStr">
        <is>
          <t>线下</t>
        </is>
      </c>
      <c r="R28" s="7" t="inlineStr">
        <is>
          <t>必须到场</t>
        </is>
      </c>
      <c r="S28" s="4" t="inlineStr">
        <is>
          <t>待确认</t>
        </is>
      </c>
      <c r="T28" s="2" t="inlineStr">
        <is>
          <t>不限</t>
        </is>
      </c>
      <c r="U28" s="2" t="inlineStr">
        <is>
          <t>—</t>
        </is>
      </c>
      <c r="V28" s="4" t="inlineStr">
        <is>
          <t>未找到</t>
        </is>
      </c>
      <c r="W28" s="2" t="inlineStr">
        <is>
          <t>已核实</t>
        </is>
      </c>
      <c r="X28" s="4" t="inlineStr">
        <is>
          <t>新人条款</t>
        </is>
      </c>
      <c r="Y28" s="7" t="inlineStr">
        <is>
          <t>https://infocom2027.ieee-infocom.org/</t>
        </is>
      </c>
      <c r="Z28" s="4" t="inlineStr">
        <is>
          <t>使用 EDAS 投稿，分主会与 workshop；核查:摘要2026-07-24；早期拒稿通知2026-10-09</t>
        </is>
      </c>
    </row>
    <row r="29" ht="32" customHeight="1">
      <c r="A29" s="8" t="n">
        <v>28</v>
      </c>
      <c r="B29" s="9" t="inlineStr">
        <is>
          <t>MobiCom</t>
        </is>
      </c>
      <c r="C29" s="10" t="inlineStr">
        <is>
          <t>ACM Annual International Conference On Mobile Computing And Networking</t>
        </is>
      </c>
      <c r="D29" s="10" t="inlineStr">
        <is>
          <t>移动计算与无线网络顶会，移动系统/无线感知/蜂窝网络，重原型与实测</t>
        </is>
      </c>
      <c r="E29" s="8" t="inlineStr">
        <is>
          <t>计算机网络</t>
        </is>
      </c>
      <c r="F29" s="5" t="inlineStr">
        <is>
          <t>A</t>
        </is>
      </c>
      <c r="G29" s="11" t="n">
        <v>46261.83263888889</v>
      </c>
      <c r="H29" s="11" t="n">
        <v>46268.83263888889</v>
      </c>
      <c r="I29" s="12" t="inlineStr">
        <is>
          <t>Summer Deadlines</t>
        </is>
      </c>
      <c r="J29" s="8" t="inlineStr">
        <is>
          <t>AoE</t>
        </is>
      </c>
      <c r="K29" s="11" t="n">
        <v>46333.83263888889</v>
      </c>
      <c r="L29" s="11" t="inlineStr">
        <is>
          <t>2026-11-19</t>
        </is>
      </c>
      <c r="M29" s="8">
        <f>IF(ISNUMBER(H29),IF(H29&gt;'_轮次'!$A$1,"未截止","已截止"),"TBD")</f>
        <v/>
      </c>
      <c r="N29" s="8">
        <f>IF(ISNUMBER(H29),IF(H29&gt;'_轮次'!$A$1,INT(H29-'_轮次'!$A$1),"—"),"—")</f>
        <v/>
      </c>
      <c r="O29" s="12" t="inlineStr">
        <is>
          <t>Oct 18-22, 2027</t>
        </is>
      </c>
      <c r="P29" s="10" t="inlineStr">
        <is>
          <t>TBD</t>
        </is>
      </c>
      <c r="Q29" s="8" t="inlineStr">
        <is>
          <t>线下</t>
        </is>
      </c>
      <c r="R29" s="12" t="inlineStr">
        <is>
          <t>必须到场</t>
        </is>
      </c>
      <c r="S29" s="10" t="inlineStr">
        <is>
          <t>待确认</t>
        </is>
      </c>
      <c r="T29" s="8" t="inlineStr">
        <is>
          <t>不限</t>
        </is>
      </c>
      <c r="U29" s="8" t="inlineStr">
        <is>
          <t>—</t>
        </is>
      </c>
      <c r="V29" s="10" t="inlineStr">
        <is>
          <t>利好｜通道 ACM Student Research Competition（poster）</t>
        </is>
      </c>
      <c r="W29" s="8" t="inlineStr">
        <is>
          <t>已核实</t>
        </is>
      </c>
      <c r="X29" s="10" t="inlineStr">
        <is>
          <t>—</t>
        </is>
      </c>
      <c r="Y29" s="12" t="inlineStr">
        <is>
          <t>https://www.sigmobile.org/mobicom/2027/</t>
        </is>
      </c>
      <c r="Z29" s="10" t="inlineStr">
        <is>
          <t>举办地 TBD，一年一轮投稿；核查:夏季批次；摘要2026-08-26，冬季批次未定</t>
        </is>
      </c>
    </row>
    <row r="30" ht="32" customHeight="1">
      <c r="A30" s="2" t="n">
        <v>29</v>
      </c>
      <c r="B30" s="3" t="inlineStr">
        <is>
          <t>NSDI</t>
        </is>
      </c>
      <c r="C30" s="4" t="inlineStr">
        <is>
          <t>USENIX Symposium on Networked Systems Design and Implementation</t>
        </is>
      </c>
      <c r="D30" s="4" t="inlineStr">
        <is>
          <t>网络系统设计与实现顶会，数据中心/云网络/可编程网络，重真实部署</t>
        </is>
      </c>
      <c r="E30" s="2" t="inlineStr">
        <is>
          <t>计算机网络</t>
        </is>
      </c>
      <c r="F30" s="5" t="inlineStr">
        <is>
          <t>A</t>
        </is>
      </c>
      <c r="G30" s="6">
        <f>IF(ISNUMBER(H30),IF(N(INDEX('_轮次'!$N$30:$Y$30,MATCH(H30,'_轮次'!$B$30:$M$30,0)))=0,"—",INDEX('_轮次'!$N$30:$Y$30,MATCH(H30,'_轮次'!$B$30:$M$30,0))),"—")</f>
        <v/>
      </c>
      <c r="H30" s="6">
        <f>IF(COUNT('_轮次'!$B$30:$M$30)=0,"待公布",IF(COUNTIF('_轮次'!$B$30:$M$30,"&gt;"&amp;'_轮次'!$A$1)&gt;0,SMALL('_轮次'!$B$30:$M$30,COUNTIF('_轮次'!$B$30:$M$30,"&lt;="&amp;'_轮次'!$A$1)+1),MAX('_轮次'!$B$30:$M$30)))</f>
        <v/>
      </c>
      <c r="I30" s="7">
        <f>IF(ISNUMBER(H30),INDEX('_轮次'!$AX$30:$BI$30,MATCH(H30,'_轮次'!$B$30:$M$30,0)),"—")</f>
        <v/>
      </c>
      <c r="J30" s="2" t="inlineStr">
        <is>
          <t>UTC-4</t>
        </is>
      </c>
      <c r="K30" s="6">
        <f>IF(ISNUMBER(H30),IF(N(INDEX('_轮次'!$Z$30:$AK$30,MATCH(H30,'_轮次'!$B$30:$M$30,0)))=0,"—",INDEX('_轮次'!$Z$30:$AK$30,MATCH(H30,'_轮次'!$B$30:$M$30,0))),"—")</f>
        <v/>
      </c>
      <c r="L30" s="6">
        <f>IF(ISNUMBER(H30),IF(N(INDEX('_轮次'!$AL$30:$AW$30,MATCH(H30,'_轮次'!$B$30:$M$30,0)))=0,"—",INDEX('_轮次'!$AL$30:$AW$30,MATCH(H30,'_轮次'!$B$30:$M$30,0))),"—")</f>
        <v/>
      </c>
      <c r="M30" s="2">
        <f>IF(ISNUMBER(H30),IF(H30&gt;'_轮次'!$A$1,"未截止","已截止"),"TBD")</f>
        <v/>
      </c>
      <c r="N30" s="2">
        <f>IF(ISNUMBER(H30),IF(H30&gt;'_轮次'!$A$1,INT(H30-'_轮次'!$A$1),"—"),"—")</f>
        <v/>
      </c>
      <c r="O30" s="7" t="inlineStr">
        <is>
          <t>May 11-13, 2027</t>
        </is>
      </c>
      <c r="P30" s="4" t="inlineStr">
        <is>
          <t>Providence, RI, USA</t>
        </is>
      </c>
      <c r="Q30" s="2" t="inlineStr">
        <is>
          <t>线下</t>
        </is>
      </c>
      <c r="R30" s="7" t="inlineStr">
        <is>
          <t>必须到场</t>
        </is>
      </c>
      <c r="S30" s="4" t="inlineStr">
        <is>
          <t>未提供线上参会</t>
        </is>
      </c>
      <c r="T30" s="2" t="n">
        <v>8</v>
      </c>
      <c r="U30" s="2" t="inlineStr">
        <is>
          <t>每届</t>
        </is>
      </c>
      <c r="V30" s="4" t="inlineStr">
        <is>
          <t>利好｜每篇须一名作者全价注册（非学生价）</t>
        </is>
      </c>
      <c r="W30" s="2" t="inlineStr">
        <is>
          <t>已核实</t>
        </is>
      </c>
      <c r="X30" s="4" t="inlineStr">
        <is>
          <t>—</t>
        </is>
      </c>
      <c r="Y30" s="7" t="inlineStr">
        <is>
          <t>https://www.usenix.org/conference/nsdi27</t>
        </is>
      </c>
      <c r="Z30" s="4" t="inlineStr">
        <is>
          <t>春秋两轮投稿；核查:两轮制，秋季轮全文9/17；须全价注册现场报告；全部轮次 轮:2026-04-24 / 轮:2026-09-18</t>
        </is>
      </c>
    </row>
    <row r="31" ht="32" customHeight="1">
      <c r="A31" s="8" t="n">
        <v>30</v>
      </c>
      <c r="B31" s="9" t="inlineStr">
        <is>
          <t>SIGCOMM</t>
        </is>
      </c>
      <c r="C31" s="10" t="inlineStr">
        <is>
          <t>ACM International Conference on Applications, Technologies, Architectures, and Protocols for Computer Communication</t>
        </is>
      </c>
      <c r="D31" s="10" t="inlineStr">
        <is>
          <t>数据通信第一会，网络架构/协议/可编程数据平面，重测量与现网部署</t>
        </is>
      </c>
      <c r="E31" s="8" t="inlineStr">
        <is>
          <t>计算机网络</t>
        </is>
      </c>
      <c r="F31" s="5" t="inlineStr">
        <is>
          <t>A</t>
        </is>
      </c>
      <c r="G31" s="11" t="inlineStr">
        <is>
          <t>—</t>
        </is>
      </c>
      <c r="H31" s="11" t="n">
        <v>46421.83263888889</v>
      </c>
      <c r="I31" s="12" t="inlineStr">
        <is>
          <t>单轮</t>
        </is>
      </c>
      <c r="J31" s="8" t="inlineStr">
        <is>
          <t>AoE</t>
        </is>
      </c>
      <c r="K31" s="11" t="inlineStr">
        <is>
          <t>—</t>
        </is>
      </c>
      <c r="L31" s="11" t="inlineStr">
        <is>
          <t>待公布</t>
        </is>
      </c>
      <c r="M31" s="8">
        <f>IF(ISNUMBER(H31),IF(H31&gt;'_轮次'!$A$1,"未截止","已截止"),"TBD")</f>
        <v/>
      </c>
      <c r="N31" s="8">
        <f>IF(ISNUMBER(H31),IF(H31&gt;'_轮次'!$A$1,INT(H31-'_轮次'!$A$1),"—"),"—")</f>
        <v/>
      </c>
      <c r="O31" s="12" t="inlineStr">
        <is>
          <t>August 8 - 12, 2027</t>
        </is>
      </c>
      <c r="P31" s="10" t="inlineStr">
        <is>
          <t>Bangkok, Thailand</t>
        </is>
      </c>
      <c r="Q31" s="8" t="inlineStr">
        <is>
          <t>线下</t>
        </is>
      </c>
      <c r="R31" s="12" t="inlineStr">
        <is>
          <t>必须到场</t>
        </is>
      </c>
      <c r="S31" s="10" t="inlineStr">
        <is>
          <t>设远程 pod，报告仍须到场</t>
        </is>
      </c>
      <c r="T31" s="8" t="n">
        <v>8</v>
      </c>
      <c r="U31" s="8" t="inlineStr">
        <is>
          <t>每届</t>
        </is>
      </c>
      <c r="V31" s="10" t="inlineStr">
        <is>
          <t>硬性｜每篇须报一名互惠审稿作者，一般须具博士学位</t>
        </is>
      </c>
      <c r="W31" s="8" t="inlineStr">
        <is>
          <t>已核实</t>
        </is>
      </c>
      <c r="X31" s="10" t="inlineStr">
        <is>
          <t>—</t>
        </is>
      </c>
      <c r="Y31" s="12" t="inlineStr">
        <is>
          <t>https://conferences.sigcomm.org/sigcomm/2027/</t>
        </is>
      </c>
      <c r="Z31" s="10" t="inlineStr">
        <is>
          <t>分两个投稿轮次，重 artifact 评估；核查:单轮；未公布录用通知日；无 rebuttal</t>
        </is>
      </c>
    </row>
    <row r="32" ht="32" customHeight="1">
      <c r="A32" s="2" t="n">
        <v>31</v>
      </c>
      <c r="B32" s="3" t="inlineStr">
        <is>
          <t>CCS</t>
        </is>
      </c>
      <c r="C32" s="4" t="inlineStr">
        <is>
          <t>ACM Conference on Computer and Communications Security</t>
        </is>
      </c>
      <c r="D32" s="4" t="inlineStr">
        <is>
          <t>安全四大顶会之一，系统安全/密码应用/隐私与机器学习安全，覆盖最广</t>
        </is>
      </c>
      <c r="E32" s="2" t="inlineStr">
        <is>
          <t>网络与信息安全</t>
        </is>
      </c>
      <c r="F32" s="5" t="inlineStr">
        <is>
          <t>A</t>
        </is>
      </c>
      <c r="G32" s="6" t="inlineStr">
        <is>
          <t>—</t>
        </is>
      </c>
      <c r="H32" s="6" t="inlineStr">
        <is>
          <t>待公布</t>
        </is>
      </c>
      <c r="I32" s="7" t="inlineStr">
        <is>
          <t>—</t>
        </is>
      </c>
      <c r="J32" s="2" t="inlineStr">
        <is>
          <t>AoE</t>
        </is>
      </c>
      <c r="K32" s="6" t="inlineStr">
        <is>
          <t>—</t>
        </is>
      </c>
      <c r="L32" s="6" t="inlineStr">
        <is>
          <t>待公布</t>
        </is>
      </c>
      <c r="M32" s="2">
        <f>IF(ISNUMBER(H32),IF(H32&gt;'_轮次'!$A$1,"未截止","已截止"),"TBD")</f>
        <v/>
      </c>
      <c r="N32" s="2">
        <f>IF(ISNUMBER(H32),IF(H32&gt;'_轮次'!$A$1,INT(H32-'_轮次'!$A$1),"—"),"—")</f>
        <v/>
      </c>
      <c r="O32" s="7" t="inlineStr">
        <is>
          <t>October 11-15, 2027</t>
        </is>
      </c>
      <c r="P32" s="4" t="inlineStr">
        <is>
          <t>Atlanta, USA</t>
        </is>
      </c>
      <c r="Q32" s="2" t="inlineStr">
        <is>
          <t>线下</t>
        </is>
      </c>
      <c r="R32" s="7" t="inlineStr">
        <is>
          <t>必须到场</t>
        </is>
      </c>
      <c r="S32" s="4" t="inlineStr">
        <is>
          <t>待确认</t>
        </is>
      </c>
      <c r="T32" s="2" t="inlineStr">
        <is>
          <t>不限</t>
        </is>
      </c>
      <c r="U32" s="2" t="inlineStr">
        <is>
          <t>—</t>
        </is>
      </c>
      <c r="V32" s="4" t="inlineStr">
        <is>
          <t>CFP未发布</t>
        </is>
      </c>
      <c r="W32" s="2" t="inlineStr">
        <is>
          <t>2027CFP未发布</t>
        </is>
      </c>
      <c r="X32" s="4" t="inlineStr">
        <is>
          <t>截稿日、新人条款</t>
        </is>
      </c>
      <c r="Y32" s="7" t="inlineStr">
        <is>
          <t>https://www.sigsac.org/ccs/CCS2027/</t>
        </is>
      </c>
      <c r="Z32" s="4" t="inlineStr">
        <is>
          <t>两轮评审制，投稿量大；核查:官网仅有会期地点，无 CFP 内容</t>
        </is>
      </c>
    </row>
    <row r="33" ht="32" customHeight="1">
      <c r="A33" s="8" t="n">
        <v>32</v>
      </c>
      <c r="B33" s="9" t="inlineStr">
        <is>
          <t>EUROCRYPT</t>
        </is>
      </c>
      <c r="C33" s="10" t="inlineStr">
        <is>
          <t>European Cryptology Conference</t>
        </is>
      </c>
      <c r="D33" s="10" t="inlineStr">
        <is>
          <t>密码学三大顶会之一，偏理论：公钥密码/多方计算/零知识证明</t>
        </is>
      </c>
      <c r="E33" s="8" t="inlineStr">
        <is>
          <t>网络与信息安全</t>
        </is>
      </c>
      <c r="F33" s="5" t="inlineStr">
        <is>
          <t>A</t>
        </is>
      </c>
      <c r="G33" s="11" t="inlineStr">
        <is>
          <t>—</t>
        </is>
      </c>
      <c r="H33" s="11" t="n">
        <v>46283.83263888889</v>
      </c>
      <c r="I33" s="12" t="inlineStr">
        <is>
          <t>单轮</t>
        </is>
      </c>
      <c r="J33" s="8" t="inlineStr">
        <is>
          <t>AoE</t>
        </is>
      </c>
      <c r="K33" s="11" t="n">
        <v>46362.83263888889</v>
      </c>
      <c r="L33" s="11" t="inlineStr">
        <is>
          <t>2027-01-18</t>
        </is>
      </c>
      <c r="M33" s="8">
        <f>IF(ISNUMBER(H33),IF(H33&gt;'_轮次'!$A$1,"未截止","已截止"),"TBD")</f>
        <v/>
      </c>
      <c r="N33" s="8">
        <f>IF(ISNUMBER(H33),IF(H33&gt;'_轮次'!$A$1,INT(H33-'_轮次'!$A$1),"—"),"—")</f>
        <v/>
      </c>
      <c r="O33" s="12" t="inlineStr">
        <is>
          <t>April 11-15, 2027</t>
        </is>
      </c>
      <c r="P33" s="10" t="inlineStr">
        <is>
          <t>Eindhoven, Netherlands</t>
        </is>
      </c>
      <c r="Q33" s="8" t="inlineStr">
        <is>
          <t>线下</t>
        </is>
      </c>
      <c r="R33" s="12" t="inlineStr">
        <is>
          <t>必须到场</t>
        </is>
      </c>
      <c r="S33" s="10" t="inlineStr">
        <is>
          <t>不设线上通道</t>
        </is>
      </c>
      <c r="T33" s="8" t="inlineStr">
        <is>
          <t>不限</t>
        </is>
      </c>
      <c r="U33" s="8" t="inlineStr">
        <is>
          <t>—</t>
        </is>
      </c>
      <c r="V33" s="10" t="inlineStr">
        <is>
          <t>无专属条款</t>
        </is>
      </c>
      <c r="W33" s="8" t="inlineStr">
        <is>
          <t>已核实</t>
        </is>
      </c>
      <c r="X33" s="10" t="inlineStr">
        <is>
          <t>—</t>
        </is>
      </c>
      <c r="Y33" s="12" t="inlineStr">
        <is>
          <t>https://eurocrypt.iacr.org/2027/</t>
        </is>
      </c>
      <c r="Z33" s="10" t="inlineStr">
        <is>
          <t>IACR 旗下，用 IACR 投稿服务器；核查:须由作者之一现场报告；论文录制</t>
        </is>
      </c>
    </row>
    <row r="34" ht="32" customHeight="1">
      <c r="A34" s="2" t="n">
        <v>33</v>
      </c>
      <c r="B34" s="3" t="inlineStr">
        <is>
          <t>NDSS</t>
        </is>
      </c>
      <c r="C34" s="4" t="inlineStr">
        <is>
          <t>Network and Distributed System Security (NDSS) Symposium</t>
        </is>
      </c>
      <c r="D34" s="4" t="inlineStr">
        <is>
          <t>安全四大顶会之一，网络与分布式系统安全，重攻击实现与大规模实测</t>
        </is>
      </c>
      <c r="E34" s="2" t="inlineStr">
        <is>
          <t>网络与信息安全</t>
        </is>
      </c>
      <c r="F34" s="5" t="inlineStr">
        <is>
          <t>A</t>
        </is>
      </c>
      <c r="G34" s="6">
        <f>IF(ISNUMBER(H34),IF(N(INDEX('_轮次'!$N$34:$Y$34,MATCH(H34,'_轮次'!$B$34:$M$34,0)))=0,"—",INDEX('_轮次'!$N$34:$Y$34,MATCH(H34,'_轮次'!$B$34:$M$34,0))),"—")</f>
        <v/>
      </c>
      <c r="H34" s="6">
        <f>IF(COUNT('_轮次'!$B$34:$M$34)=0,"待公布",IF(COUNTIF('_轮次'!$B$34:$M$34,"&gt;"&amp;'_轮次'!$A$1)&gt;0,SMALL('_轮次'!$B$34:$M$34,COUNTIF('_轮次'!$B$34:$M$34,"&lt;="&amp;'_轮次'!$A$1)+1),MAX('_轮次'!$B$34:$M$34)))</f>
        <v/>
      </c>
      <c r="I34" s="7">
        <f>IF(ISNUMBER(H34),INDEX('_轮次'!$AX$34:$BI$34,MATCH(H34,'_轮次'!$B$34:$M$34,0)),"—")</f>
        <v/>
      </c>
      <c r="J34" s="2" t="inlineStr">
        <is>
          <t>UTC-12</t>
        </is>
      </c>
      <c r="K34" s="6">
        <f>IF(ISNUMBER(H34),IF(N(INDEX('_轮次'!$Z$34:$AK$34,MATCH(H34,'_轮次'!$B$34:$M$34,0)))=0,"—",INDEX('_轮次'!$Z$34:$AK$34,MATCH(H34,'_轮次'!$B$34:$M$34,0))),"—")</f>
        <v/>
      </c>
      <c r="L34" s="6">
        <f>IF(ISNUMBER(H34),IF(N(INDEX('_轮次'!$AL$34:$AW$34,MATCH(H34,'_轮次'!$B$34:$M$34,0)))=0,"—",INDEX('_轮次'!$AL$34:$AW$34,MATCH(H34,'_轮次'!$B$34:$M$34,0))),"—")</f>
        <v/>
      </c>
      <c r="M34" s="2">
        <f>IF(ISNUMBER(H34),IF(H34&gt;'_轮次'!$A$1,"未截止","已截止"),"TBD")</f>
        <v/>
      </c>
      <c r="N34" s="2">
        <f>IF(ISNUMBER(H34),IF(H34&gt;'_轮次'!$A$1,INT(H34-'_轮次'!$A$1),"—"),"—")</f>
        <v/>
      </c>
      <c r="O34" s="7" t="inlineStr">
        <is>
          <t>March 22 - March 26, 2027</t>
        </is>
      </c>
      <c r="P34" s="4" t="inlineStr">
        <is>
          <t>Seoul, Republic of Korea</t>
        </is>
      </c>
      <c r="Q34" s="2" t="inlineStr">
        <is>
          <t>线下</t>
        </is>
      </c>
      <c r="R34" s="7" t="inlineStr">
        <is>
          <t>必须到场</t>
        </is>
      </c>
      <c r="S34" s="4" t="inlineStr">
        <is>
          <t>待确认</t>
        </is>
      </c>
      <c r="T34" s="2" t="n">
        <v>6</v>
      </c>
      <c r="U34" s="2" t="inlineStr">
        <is>
          <t>每轮</t>
        </is>
      </c>
      <c r="V34" s="4" t="inlineStr">
        <is>
          <t>硬性｜配额 6 篇/周期（每位作者各自计，适用于所有作者）</t>
        </is>
      </c>
      <c r="W34" s="2" t="inlineStr">
        <is>
          <t>已核实</t>
        </is>
      </c>
      <c r="X34" s="4" t="inlineStr">
        <is>
          <t>—</t>
        </is>
      </c>
      <c r="Y34" s="7" t="inlineStr">
        <is>
          <t>https://www.ndss-symposium.org/ndss2027/</t>
        </is>
      </c>
      <c r="Z34" s="4" t="inlineStr">
        <is>
          <t>两轮投稿，夏季/秋季各一轮；核查:夏/秋两轮均截止；仅称须按参会政策报告；全部轮次 Summer:2026-05-07 / Fall:2026-08-20</t>
        </is>
      </c>
    </row>
    <row r="35" ht="32" customHeight="1">
      <c r="A35" s="8" t="n">
        <v>34</v>
      </c>
      <c r="B35" s="9" t="inlineStr">
        <is>
          <t>S&amp;P</t>
        </is>
      </c>
      <c r="C35" s="10" t="inlineStr">
        <is>
          <t>IEEE Symposium on Security and Privacy</t>
        </is>
      </c>
      <c r="D35" s="10" t="inlineStr">
        <is>
          <t>IEEE 安全旗舰，系统安全/隐私保护/密码应用，审稿严、录用率低</t>
        </is>
      </c>
      <c r="E35" s="8" t="inlineStr">
        <is>
          <t>网络与信息安全</t>
        </is>
      </c>
      <c r="F35" s="5" t="inlineStr">
        <is>
          <t>A</t>
        </is>
      </c>
      <c r="G35" s="11">
        <f>IF(ISNUMBER(H35),IF(N(INDEX('_轮次'!$N$35:$Y$35,MATCH(H35,'_轮次'!$B$35:$M$35,0)))=0,"—",INDEX('_轮次'!$N$35:$Y$35,MATCH(H35,'_轮次'!$B$35:$M$35,0))),"—")</f>
        <v/>
      </c>
      <c r="H35" s="11">
        <f>IF(COUNT('_轮次'!$B$35:$M$35)=0,"待公布",IF(COUNTIF('_轮次'!$B$35:$M$35,"&gt;"&amp;'_轮次'!$A$1)&gt;0,SMALL('_轮次'!$B$35:$M$35,COUNTIF('_轮次'!$B$35:$M$35,"&lt;="&amp;'_轮次'!$A$1)+1),MAX('_轮次'!$B$35:$M$35)))</f>
        <v/>
      </c>
      <c r="I35" s="12">
        <f>IF(ISNUMBER(H35),INDEX('_轮次'!$AX$35:$BI$35,MATCH(H35,'_轮次'!$B$35:$M$35,0)),"—")</f>
        <v/>
      </c>
      <c r="J35" s="8" t="inlineStr">
        <is>
          <t>UTC-12</t>
        </is>
      </c>
      <c r="K35" s="11">
        <f>IF(ISNUMBER(H35),IF(N(INDEX('_轮次'!$Z$35:$AK$35,MATCH(H35,'_轮次'!$B$35:$M$35,0)))=0,"—",INDEX('_轮次'!$Z$35:$AK$35,MATCH(H35,'_轮次'!$B$35:$M$35,0))),"—")</f>
        <v/>
      </c>
      <c r="L35" s="11">
        <f>IF(ISNUMBER(H35),IF(N(INDEX('_轮次'!$AL$35:$AW$35,MATCH(H35,'_轮次'!$B$35:$M$35,0)))=0,"—",INDEX('_轮次'!$AL$35:$AW$35,MATCH(H35,'_轮次'!$B$35:$M$35,0))),"—")</f>
        <v/>
      </c>
      <c r="M35" s="8">
        <f>IF(ISNUMBER(H35),IF(H35&gt;'_轮次'!$A$1,"未截止","已截止"),"TBD")</f>
        <v/>
      </c>
      <c r="N35" s="8">
        <f>IF(ISNUMBER(H35),IF(H35&gt;'_轮次'!$A$1,INT(H35-'_轮次'!$A$1),"—"),"—")</f>
        <v/>
      </c>
      <c r="O35" s="12" t="inlineStr">
        <is>
          <t>May 17-19, 2027</t>
        </is>
      </c>
      <c r="P35" s="10" t="inlineStr">
        <is>
          <t>MONTREAL, CANADA</t>
        </is>
      </c>
      <c r="Q35" s="8" t="inlineStr">
        <is>
          <t>线下</t>
        </is>
      </c>
      <c r="R35" s="12" t="inlineStr">
        <is>
          <t>必须到场</t>
        </is>
      </c>
      <c r="S35" s="10" t="inlineStr">
        <is>
          <t>待确认</t>
        </is>
      </c>
      <c r="T35" s="8" t="n">
        <v>6</v>
      </c>
      <c r="U35" s="8" t="inlineStr">
        <is>
          <t>每轮</t>
        </is>
      </c>
      <c r="V35" s="10" t="inlineStr">
        <is>
          <t>硬性｜配额 每位作者每轮最多 6 篇（适用于所有作者）</t>
        </is>
      </c>
      <c r="W35" s="8" t="inlineStr">
        <is>
          <t>已核实</t>
        </is>
      </c>
      <c r="X35" s="10" t="inlineStr">
        <is>
          <t>—</t>
        </is>
      </c>
      <c r="Y35" s="12" t="inlineStr">
        <is>
          <t>https://sp2027.ieee-security.org/index.html</t>
        </is>
      </c>
      <c r="Z35" s="10" t="inlineStr">
        <is>
          <t>两轮评审，周期长，常需 rebuttal；核查:官网无 CFP 正文，cfp.html 返回 404；重查:2027 CFP 已上线，第二轮 2026-11-17 截稿；每人每轮≤6 篇；全部轮次 First Paper submission deadline:2026-06-12 / Second Paper submission deadline:2026-11-18</t>
        </is>
      </c>
    </row>
    <row r="36" ht="32" customHeight="1">
      <c r="A36" s="2" t="n">
        <v>35</v>
      </c>
      <c r="B36" s="3" t="inlineStr">
        <is>
          <t>USENIX Security</t>
        </is>
      </c>
      <c r="C36" s="4" t="inlineStr">
        <is>
          <t>USENIX Security Symposium</t>
        </is>
      </c>
      <c r="D36" s="4" t="inlineStr">
        <is>
          <t>安全四大顶会之一，以系统安全与漏洞挖掘为主，重真实威胁实证</t>
        </is>
      </c>
      <c r="E36" s="2" t="inlineStr">
        <is>
          <t>网络与信息安全</t>
        </is>
      </c>
      <c r="F36" s="5" t="inlineStr">
        <is>
          <t>A</t>
        </is>
      </c>
      <c r="G36" s="6">
        <f>IF(ISNUMBER(H36),IF(N(INDEX('_轮次'!$N$36:$Y$36,MATCH(H36,'_轮次'!$B$36:$M$36,0)))=0,"—",INDEX('_轮次'!$N$36:$Y$36,MATCH(H36,'_轮次'!$B$36:$M$36,0))),"—")</f>
        <v/>
      </c>
      <c r="H36" s="6">
        <f>IF(COUNT('_轮次'!$B$36:$M$36)=0,"待公布",IF(COUNTIF('_轮次'!$B$36:$M$36,"&gt;"&amp;'_轮次'!$A$1)&gt;0,SMALL('_轮次'!$B$36:$M$36,COUNTIF('_轮次'!$B$36:$M$36,"&lt;="&amp;'_轮次'!$A$1)+1),MAX('_轮次'!$B$36:$M$36)))</f>
        <v/>
      </c>
      <c r="I36" s="7">
        <f>IF(ISNUMBER(H36),INDEX('_轮次'!$AX$36:$BI$36,MATCH(H36,'_轮次'!$B$36:$M$36,0)),"—")</f>
        <v/>
      </c>
      <c r="J36" s="2" t="inlineStr">
        <is>
          <t>UTC-12</t>
        </is>
      </c>
      <c r="K36" s="6">
        <f>IF(ISNUMBER(H36),IF(N(INDEX('_轮次'!$Z$36:$AK$36,MATCH(H36,'_轮次'!$B$36:$M$36,0)))=0,"—",INDEX('_轮次'!$Z$36:$AK$36,MATCH(H36,'_轮次'!$B$36:$M$36,0))),"—")</f>
        <v/>
      </c>
      <c r="L36" s="6">
        <f>IF(ISNUMBER(H36),IF(N(INDEX('_轮次'!$AL$36:$AW$36,MATCH(H36,'_轮次'!$B$36:$M$36,0)))=0,"—",INDEX('_轮次'!$AL$36:$AW$36,MATCH(H36,'_轮次'!$B$36:$M$36,0))),"—")</f>
        <v/>
      </c>
      <c r="M36" s="2">
        <f>IF(ISNUMBER(H36),IF(H36&gt;'_轮次'!$A$1,"未截止","已截止"),"TBD")</f>
        <v/>
      </c>
      <c r="N36" s="2">
        <f>IF(ISNUMBER(H36),IF(H36&gt;'_轮次'!$A$1,INT(H36-'_轮次'!$A$1),"—"),"—")</f>
        <v/>
      </c>
      <c r="O36" s="7" t="inlineStr">
        <is>
          <t>August 11-13, 2027</t>
        </is>
      </c>
      <c r="P36" s="4" t="inlineStr">
        <is>
          <t>Denver, CO, USA</t>
        </is>
      </c>
      <c r="Q36" s="2" t="inlineStr">
        <is>
          <t>线下</t>
        </is>
      </c>
      <c r="R36" s="7" t="inlineStr">
        <is>
          <t>必须到场</t>
        </is>
      </c>
      <c r="S36" s="4" t="inlineStr">
        <is>
          <t>未提供线上参会</t>
        </is>
      </c>
      <c r="T36" s="2" t="n">
        <v>7</v>
      </c>
      <c r="U36" s="2" t="inlineStr">
        <is>
          <t>每轮</t>
        </is>
      </c>
      <c r="V36" s="4" t="inlineStr">
        <is>
          <t>硬性｜配额 7 篇/周期（每位作者各自计，适用于所有作者）</t>
        </is>
      </c>
      <c r="W36" s="2" t="inlineStr">
        <is>
          <t>已核实</t>
        </is>
      </c>
      <c r="X36" s="4" t="inlineStr">
        <is>
          <t>—</t>
        </is>
      </c>
      <c r="Y36" s="7" t="inlineStr">
        <is>
          <t>https://www.usenix.org/conference/usenixsecurity27</t>
        </is>
      </c>
      <c r="Z36" s="4" t="inlineStr">
        <is>
          <t>每年两轮截稿，秋季与春季各一次；核查:两轮制，取第2轮；须全价注册现场报告；全部轮次 Cycle 1 Deadline:2026-08-26 / Cycle 2 Deadline:2027-01-27</t>
        </is>
      </c>
    </row>
    <row r="37" ht="32" customHeight="1">
      <c r="A37" s="8" t="n">
        <v>36</v>
      </c>
      <c r="B37" s="9" t="inlineStr">
        <is>
          <t>FM</t>
        </is>
      </c>
      <c r="C37" s="10" t="inlineStr">
        <is>
          <t>International Symposium on Formal Methods</t>
        </is>
      </c>
      <c r="D37" s="10" t="inlineStr">
        <is>
          <t>形式化方法旗舰会议，聚焦建模验证、定理证明与工业级应用</t>
        </is>
      </c>
      <c r="E37" s="8" t="inlineStr">
        <is>
          <t>软件工程/系统软件</t>
        </is>
      </c>
      <c r="F37" s="5" t="inlineStr">
        <is>
          <t>A</t>
        </is>
      </c>
      <c r="G37" s="11" t="inlineStr">
        <is>
          <t>—</t>
        </is>
      </c>
      <c r="H37" s="11" t="inlineStr">
        <is>
          <t>待公布</t>
        </is>
      </c>
      <c r="I37" s="12" t="inlineStr">
        <is>
          <t>—</t>
        </is>
      </c>
      <c r="J37" s="8" t="inlineStr">
        <is>
          <t>AoE</t>
        </is>
      </c>
      <c r="K37" s="11" t="inlineStr">
        <is>
          <t>—</t>
        </is>
      </c>
      <c r="L37" s="11" t="inlineStr">
        <is>
          <t>待公布</t>
        </is>
      </c>
      <c r="M37" s="8">
        <f>IF(ISNUMBER(H37),IF(H37&gt;'_轮次'!$A$1,"未截止","已截止"),"TBD")</f>
        <v/>
      </c>
      <c r="N37" s="8">
        <f>IF(ISNUMBER(H37),IF(H37&gt;'_轮次'!$A$1,INT(H37-'_轮次'!$A$1),"—"),"—")</f>
        <v/>
      </c>
      <c r="O37" s="12" t="inlineStr">
        <is>
          <t>October 18-22, 2027</t>
        </is>
      </c>
      <c r="P37" s="10" t="inlineStr">
        <is>
          <t>Athens, Greece</t>
        </is>
      </c>
      <c r="Q37" s="8" t="inlineStr">
        <is>
          <t>线下</t>
        </is>
      </c>
      <c r="R37" s="12" t="inlineStr">
        <is>
          <t>必须到场</t>
        </is>
      </c>
      <c r="S37" s="10" t="inlineStr">
        <is>
          <t>不设线上通道</t>
        </is>
      </c>
      <c r="T37" s="8" t="inlineStr">
        <is>
          <t>不限</t>
        </is>
      </c>
      <c r="U37" s="8" t="inlineStr">
        <is>
          <t>—</t>
        </is>
      </c>
      <c r="V37" s="10" t="inlineStr">
        <is>
          <t>CFP未发布</t>
        </is>
      </c>
      <c r="W37" s="8" t="inlineStr">
        <is>
          <t>2027CFP未发布</t>
        </is>
      </c>
      <c r="X37" s="10" t="inlineStr">
        <is>
          <t>截稿日、新人条款</t>
        </is>
      </c>
      <c r="Y37" s="12" t="inlineStr">
        <is>
          <t>https://www.fmeurope.org/feature/upcoming_conferences/</t>
        </is>
      </c>
      <c r="Z37" s="10" t="inlineStr">
        <is>
          <t>核查:FME 仅列 FM 2027 会期 18-22 Oct 2027 Athens，无截稿日</t>
        </is>
      </c>
    </row>
    <row r="38" ht="32" customHeight="1">
      <c r="A38" s="2" t="n">
        <v>37</v>
      </c>
      <c r="B38" s="3" t="inlineStr">
        <is>
          <t>FSE</t>
        </is>
      </c>
      <c r="C38" s="4" t="inlineStr">
        <is>
          <t>ACM International Conference on the Foundations of Software Engineering</t>
        </is>
      </c>
      <c r="D38" s="4" t="inlineStr">
        <is>
          <t>软件工程两大顶会之一，重方法创新与真实工程场景实证</t>
        </is>
      </c>
      <c r="E38" s="2" t="inlineStr">
        <is>
          <t>软件工程/系统软件</t>
        </is>
      </c>
      <c r="F38" s="5" t="inlineStr">
        <is>
          <t>A</t>
        </is>
      </c>
      <c r="G38" s="6" t="inlineStr">
        <is>
          <t>—</t>
        </is>
      </c>
      <c r="H38" s="6" t="n">
        <v>46298.83263888889</v>
      </c>
      <c r="I38" s="7" t="inlineStr">
        <is>
          <t>单轮</t>
        </is>
      </c>
      <c r="J38" s="2" t="inlineStr">
        <is>
          <t>AoE</t>
        </is>
      </c>
      <c r="K38" s="6" t="n">
        <v>46375.83263888889</v>
      </c>
      <c r="L38" s="6" t="inlineStr">
        <is>
          <t>2027-01-22</t>
        </is>
      </c>
      <c r="M38" s="2">
        <f>IF(ISNUMBER(H38),IF(H38&gt;'_轮次'!$A$1,"未截止","已截止"),"TBD")</f>
        <v/>
      </c>
      <c r="N38" s="2">
        <f>IF(ISNUMBER(H38),IF(H38&gt;'_轮次'!$A$1,INT(H38-'_轮次'!$A$1),"—"),"—")</f>
        <v/>
      </c>
      <c r="O38" s="7" t="inlineStr">
        <is>
          <t>July 12-16, 2027</t>
        </is>
      </c>
      <c r="P38" s="4" t="inlineStr">
        <is>
          <t>Shenzhen, China</t>
        </is>
      </c>
      <c r="Q38" s="2" t="inlineStr">
        <is>
          <t>线下</t>
        </is>
      </c>
      <c r="R38" s="7" t="inlineStr">
        <is>
          <t>必须到场</t>
        </is>
      </c>
      <c r="S38" s="4" t="inlineStr">
        <is>
          <t>不设线上通道</t>
        </is>
      </c>
      <c r="T38" s="2" t="inlineStr">
        <is>
          <t>不限</t>
        </is>
      </c>
      <c r="U38" s="2" t="inlineStr">
        <is>
          <t>—</t>
        </is>
      </c>
      <c r="V38" s="4" t="inlineStr">
        <is>
          <t>未找到</t>
        </is>
      </c>
      <c r="W38" s="2" t="inlineStr">
        <is>
          <t>已核实</t>
        </is>
      </c>
      <c r="X38" s="4" t="inlineStr">
        <is>
          <t>新人条款</t>
        </is>
      </c>
      <c r="Y38" s="7" t="inlineStr">
        <is>
          <t>https://conf.researchr.org/home/fse-2027</t>
        </is>
      </c>
      <c r="Z38" s="4" t="inlineStr">
        <is>
          <t>2027 届在深圳举办，国内投稿便利；核查:初审2027-01-22，大修改终审2027-03-31</t>
        </is>
      </c>
    </row>
    <row r="39" ht="32" customHeight="1">
      <c r="A39" s="8" t="n">
        <v>38</v>
      </c>
      <c r="B39" s="9" t="inlineStr">
        <is>
          <t>ICSE</t>
        </is>
      </c>
      <c r="C39" s="10" t="inlineStr">
        <is>
          <t>International Conference on Software Engineering</t>
        </is>
      </c>
      <c r="D39" s="10" t="inlineStr">
        <is>
          <t>软件工程第一大会，覆盖需求到测试全流程，看重实证与影响力</t>
        </is>
      </c>
      <c r="E39" s="8" t="inlineStr">
        <is>
          <t>软件工程/系统软件</t>
        </is>
      </c>
      <c r="F39" s="5" t="inlineStr">
        <is>
          <t>A</t>
        </is>
      </c>
      <c r="G39" s="11" t="n">
        <v>46197.83263888889</v>
      </c>
      <c r="H39" s="11" t="n">
        <v>46204.83263888889</v>
      </c>
      <c r="I39" s="12" t="inlineStr">
        <is>
          <t>Single Submission Cycle Deadline</t>
        </is>
      </c>
      <c r="J39" s="8" t="inlineStr">
        <is>
          <t>AoE</t>
        </is>
      </c>
      <c r="K39" s="11" t="n">
        <v>46291.83263888889</v>
      </c>
      <c r="L39" s="11" t="inlineStr">
        <is>
          <t>2026-10-20</t>
        </is>
      </c>
      <c r="M39" s="8">
        <f>IF(ISNUMBER(H39),IF(H39&gt;'_轮次'!$A$1,"未截止","已截止"),"TBD")</f>
        <v/>
      </c>
      <c r="N39" s="8">
        <f>IF(ISNUMBER(H39),IF(H39&gt;'_轮次'!$A$1,INT(H39-'_轮次'!$A$1),"—"),"—")</f>
        <v/>
      </c>
      <c r="O39" s="12" t="inlineStr">
        <is>
          <t>April 25-May 01, 2027</t>
        </is>
      </c>
      <c r="P39" s="10" t="inlineStr">
        <is>
          <t>Dublin, Ireland</t>
        </is>
      </c>
      <c r="Q39" s="8" t="inlineStr">
        <is>
          <t>线下</t>
        </is>
      </c>
      <c r="R39" s="12" t="inlineStr">
        <is>
          <t>必须到场</t>
        </is>
      </c>
      <c r="S39" s="10" t="inlineStr">
        <is>
          <t>不设线上通道</t>
        </is>
      </c>
      <c r="T39" s="8" t="inlineStr">
        <is>
          <t>不限</t>
        </is>
      </c>
      <c r="U39" s="8" t="inlineStr">
        <is>
          <t>—</t>
        </is>
      </c>
      <c r="V39" s="10" t="inlineStr">
        <is>
          <t>未找到</t>
        </is>
      </c>
      <c r="W39" s="8" t="inlineStr">
        <is>
          <t>已核实</t>
        </is>
      </c>
      <c r="X39" s="10" t="inlineStr">
        <is>
          <t>新人条款</t>
        </is>
      </c>
      <c r="Y39" s="12" t="inlineStr">
        <is>
          <t>https://conf.researchr.org/home/icse-2027</t>
        </is>
      </c>
      <c r="Z39" s="10" t="inlineStr">
        <is>
          <t>核查:摘要2026-06-23；大修改论文终审2026-12-18</t>
        </is>
      </c>
    </row>
    <row r="40" ht="32" customHeight="1">
      <c r="A40" s="2" t="n">
        <v>39</v>
      </c>
      <c r="B40" s="3" t="inlineStr">
        <is>
          <t>ISSTA</t>
        </is>
      </c>
      <c r="C40" s="4" t="inlineStr">
        <is>
          <t>ACM SIGSOFT International Symposium on Software Testing and Analysis</t>
        </is>
      </c>
      <c r="D40" s="4" t="inlineStr">
        <is>
          <t>软件测试与分析顶会，偏动态分析、模糊测试与缺陷定位</t>
        </is>
      </c>
      <c r="E40" s="2" t="inlineStr">
        <is>
          <t>软件工程/系统软件</t>
        </is>
      </c>
      <c r="F40" s="5" t="inlineStr">
        <is>
          <t>A</t>
        </is>
      </c>
      <c r="G40" s="6" t="n">
        <v>46396.83263888889</v>
      </c>
      <c r="H40" s="6" t="n">
        <v>46399.83263888889</v>
      </c>
      <c r="I40" s="7" t="inlineStr">
        <is>
          <t>单轮</t>
        </is>
      </c>
      <c r="J40" s="2" t="inlineStr">
        <is>
          <t>AoE</t>
        </is>
      </c>
      <c r="K40" s="6" t="n">
        <v>46472.83263888889</v>
      </c>
      <c r="L40" s="6" t="inlineStr">
        <is>
          <t>2027-04-20</t>
        </is>
      </c>
      <c r="M40" s="2">
        <f>IF(ISNUMBER(H40),IF(H40&gt;'_轮次'!$A$1,"未截止","已截止"),"TBD")</f>
        <v/>
      </c>
      <c r="N40" s="2">
        <f>IF(ISNUMBER(H40),IF(H40&gt;'_轮次'!$A$1,INT(H40-'_轮次'!$A$1),"—"),"—")</f>
        <v/>
      </c>
      <c r="O40" s="7" t="inlineStr">
        <is>
          <t>September 7-10, 2027</t>
        </is>
      </c>
      <c r="P40" s="4" t="inlineStr">
        <is>
          <t>Singapore</t>
        </is>
      </c>
      <c r="Q40" s="2" t="inlineStr">
        <is>
          <t>线下</t>
        </is>
      </c>
      <c r="R40" s="7" t="inlineStr">
        <is>
          <t>必须到场</t>
        </is>
      </c>
      <c r="S40" s="4" t="inlineStr">
        <is>
          <t>不设线上通道</t>
        </is>
      </c>
      <c r="T40" s="2" t="inlineStr">
        <is>
          <t>不限</t>
        </is>
      </c>
      <c r="U40" s="2" t="inlineStr">
        <is>
          <t>—</t>
        </is>
      </c>
      <c r="V40" s="4" t="inlineStr">
        <is>
          <t>未找到</t>
        </is>
      </c>
      <c r="W40" s="2" t="inlineStr">
        <is>
          <t>已核实</t>
        </is>
      </c>
      <c r="X40" s="4" t="inlineStr">
        <is>
          <t>新人条款</t>
        </is>
      </c>
      <c r="Y40" s="7" t="inlineStr">
        <is>
          <t>https://conf.researchr.org/home/issta-2027</t>
        </is>
      </c>
      <c r="Z40" s="4" t="inlineStr">
        <is>
          <t>常与 ECOOP 等会议联合举办；核查:强制摘要2027-01-08；终审2027-06-17</t>
        </is>
      </c>
    </row>
    <row r="41" ht="32" customHeight="1">
      <c r="A41" s="8" t="n">
        <v>40</v>
      </c>
      <c r="B41" s="9" t="inlineStr">
        <is>
          <t>OOPSLA</t>
        </is>
      </c>
      <c r="C41" s="10" t="inlineStr">
        <is>
          <t>Conference on Object-Oriented Programming Systems, Languages, and Applications</t>
        </is>
      </c>
      <c r="D41" s="10" t="inlineStr">
        <is>
          <t>编程语言与面向对象旗舰，重语言设计、类型系统与实现</t>
        </is>
      </c>
      <c r="E41" s="8" t="inlineStr">
        <is>
          <t>软件工程/系统软件</t>
        </is>
      </c>
      <c r="F41" s="5" t="inlineStr">
        <is>
          <t>A</t>
        </is>
      </c>
      <c r="G41" s="11">
        <f>IF(ISNUMBER(H41),IF(N(INDEX('_轮次'!$N$41:$Y$41,MATCH(H41,'_轮次'!$B$41:$M$41,0)))=0,"—",INDEX('_轮次'!$N$41:$Y$41,MATCH(H41,'_轮次'!$B$41:$M$41,0))),"—")</f>
        <v/>
      </c>
      <c r="H41" s="11">
        <f>IF(COUNT('_轮次'!$B$41:$M$41)=0,"待公布",IF(COUNTIF('_轮次'!$B$41:$M$41,"&gt;"&amp;'_轮次'!$A$1)&gt;0,SMALL('_轮次'!$B$41:$M$41,COUNTIF('_轮次'!$B$41:$M$41,"&lt;="&amp;'_轮次'!$A$1)+1),MAX('_轮次'!$B$41:$M$41)))</f>
        <v/>
      </c>
      <c r="I41" s="12">
        <f>IF(ISNUMBER(H41),INDEX('_轮次'!$AX$41:$BI$41,MATCH(H41,'_轮次'!$B$41:$M$41,0)),"—")</f>
        <v/>
      </c>
      <c r="J41" s="8" t="inlineStr">
        <is>
          <t>AoE</t>
        </is>
      </c>
      <c r="K41" s="11">
        <f>IF(ISNUMBER(H41),IF(N(INDEX('_轮次'!$Z$41:$AK$41,MATCH(H41,'_轮次'!$B$41:$M$41,0)))=0,"—",INDEX('_轮次'!$Z$41:$AK$41,MATCH(H41,'_轮次'!$B$41:$M$41,0))),"—")</f>
        <v/>
      </c>
      <c r="L41" s="11">
        <f>IF(ISNUMBER(H41),IF(N(INDEX('_轮次'!$AL$41:$AW$41,MATCH(H41,'_轮次'!$B$41:$M$41,0)))=0,"—",INDEX('_轮次'!$AL$41:$AW$41,MATCH(H41,'_轮次'!$B$41:$M$41,0))),"—")</f>
        <v/>
      </c>
      <c r="M41" s="8">
        <f>IF(ISNUMBER(H41),IF(H41&gt;'_轮次'!$A$1,"未截止","已截止"),"TBD")</f>
        <v/>
      </c>
      <c r="N41" s="8">
        <f>IF(ISNUMBER(H41),IF(H41&gt;'_轮次'!$A$1,INT(H41-'_轮次'!$A$1),"—"),"—")</f>
        <v/>
      </c>
      <c r="O41" s="12" t="inlineStr">
        <is>
          <t>October 10-15, 2027</t>
        </is>
      </c>
      <c r="P41" s="10" t="inlineStr">
        <is>
          <t>Prague, Czechia</t>
        </is>
      </c>
      <c r="Q41" s="8" t="inlineStr">
        <is>
          <t>线下</t>
        </is>
      </c>
      <c r="R41" s="12" t="inlineStr">
        <is>
          <t>必须到场</t>
        </is>
      </c>
      <c r="S41" s="10" t="inlineStr">
        <is>
          <t>不允许远程报告</t>
        </is>
      </c>
      <c r="T41" s="8" t="n">
        <v>5</v>
      </c>
      <c r="U41" s="8" t="inlineStr">
        <is>
          <t>每届</t>
        </is>
      </c>
      <c r="V41" s="10" t="inlineStr">
        <is>
          <t>硬性｜每篇须1名资深作者注册储备审稿人，否则可desk reject</t>
        </is>
      </c>
      <c r="W41" s="8" t="inlineStr">
        <is>
          <t>已核实</t>
        </is>
      </c>
      <c r="X41" s="10" t="inlineStr">
        <is>
          <t>—</t>
        </is>
      </c>
      <c r="Y41" s="12" t="inlineStr">
        <is>
          <t>https://2027.splashcon.org/track/splashoopsla2027</t>
        </is>
      </c>
      <c r="Z41" s="10" t="inlineStr">
        <is>
          <t>SPLASH 旗下，PACMPL 期刊式出版；核查:两轮制，R2截稿2027-04-07；每人每轮≤5篇；全部轮次 Submission Deadline Round 1:2026-10-15 / Submission Deadline Round 2:2027-04-08</t>
        </is>
      </c>
    </row>
    <row r="42" ht="32" customHeight="1">
      <c r="A42" s="2" t="n">
        <v>41</v>
      </c>
      <c r="B42" s="3" t="inlineStr">
        <is>
          <t>OSDI</t>
        </is>
      </c>
      <c r="C42" s="4" t="inlineStr">
        <is>
          <t>USENIX Symposium on Operating Systems Design and Implementation</t>
        </is>
      </c>
      <c r="D42" s="4" t="inlineStr">
        <is>
          <t>系统领域顶会，重操作系统与分布式系统的设计实现与实测</t>
        </is>
      </c>
      <c r="E42" s="2" t="inlineStr">
        <is>
          <t>软件工程/系统软件</t>
        </is>
      </c>
      <c r="F42" s="5" t="inlineStr">
        <is>
          <t>A</t>
        </is>
      </c>
      <c r="G42" s="6" t="n">
        <v>46358.29097222222</v>
      </c>
      <c r="H42" s="6" t="n">
        <v>46365.29097222222</v>
      </c>
      <c r="I42" s="7" t="inlineStr">
        <is>
          <t>单轮</t>
        </is>
      </c>
      <c r="J42" s="2" t="inlineStr">
        <is>
          <t>UTC</t>
        </is>
      </c>
      <c r="K42" s="6" t="inlineStr">
        <is>
          <t>—</t>
        </is>
      </c>
      <c r="L42" s="6" t="inlineStr">
        <is>
          <t>2027-03-16</t>
        </is>
      </c>
      <c r="M42" s="2">
        <f>IF(ISNUMBER(H42),IF(H42&gt;'_轮次'!$A$1,"未截止","已截止"),"TBD")</f>
        <v/>
      </c>
      <c r="N42" s="2">
        <f>IF(ISNUMBER(H42),IF(H42&gt;'_轮次'!$A$1,INT(H42-'_轮次'!$A$1),"—"),"—")</f>
        <v/>
      </c>
      <c r="O42" s="7" t="inlineStr">
        <is>
          <t>July 7-9, 2027</t>
        </is>
      </c>
      <c r="P42" s="4" t="inlineStr">
        <is>
          <t>Baltimore, MD, USA</t>
        </is>
      </c>
      <c r="Q42" s="2" t="inlineStr">
        <is>
          <t>线下</t>
        </is>
      </c>
      <c r="R42" s="7" t="inlineStr">
        <is>
          <t>必须到场</t>
        </is>
      </c>
      <c r="S42" s="4" t="inlineStr">
        <is>
          <t>无远程，须全额注册</t>
        </is>
      </c>
      <c r="T42" s="2" t="n">
        <v>8</v>
      </c>
      <c r="U42" s="2" t="inlineStr">
        <is>
          <t>每届</t>
        </is>
      </c>
      <c r="V42" s="4" t="inlineStr">
        <is>
          <t>硬性｜配额 8 篇（每位作者各自计，适用于所有作者）</t>
        </is>
      </c>
      <c r="W42" s="2" t="inlineStr">
        <is>
          <t>已核实</t>
        </is>
      </c>
      <c r="X42" s="4" t="inlineStr">
        <is>
          <t>—</t>
        </is>
      </c>
      <c r="Y42" s="7" t="inlineStr">
        <is>
          <t>https://www.usenix.org/conference/osdi27</t>
        </is>
      </c>
      <c r="Z42" s="4" t="inlineStr">
        <is>
          <t>与 SOSP 并列系统两大顶会；核查:摘要注册2026-12-01</t>
        </is>
      </c>
    </row>
    <row r="43" ht="32" customHeight="1">
      <c r="A43" s="8" t="n">
        <v>42</v>
      </c>
      <c r="B43" s="9" t="inlineStr">
        <is>
          <t>PLDI</t>
        </is>
      </c>
      <c r="C43" s="10" t="inlineStr">
        <is>
          <t>ACM SIGPLAN Conference on Programming Language Design &amp; Implementation</t>
        </is>
      </c>
      <c r="D43" s="10" t="inlineStr">
        <is>
          <t>程序语言设计与实现顶会，偏编译器、程序分析与性能优化</t>
        </is>
      </c>
      <c r="E43" s="8" t="inlineStr">
        <is>
          <t>软件工程/系统软件</t>
        </is>
      </c>
      <c r="F43" s="5" t="inlineStr">
        <is>
          <t>A</t>
        </is>
      </c>
      <c r="G43" s="11" t="inlineStr">
        <is>
          <t>—</t>
        </is>
      </c>
      <c r="H43" s="11" t="n">
        <v>46339.83263888889</v>
      </c>
      <c r="I43" s="12" t="inlineStr">
        <is>
          <t>单轮</t>
        </is>
      </c>
      <c r="J43" s="8" t="inlineStr">
        <is>
          <t>AoE</t>
        </is>
      </c>
      <c r="K43" s="11" t="n">
        <v>46437.83263888889</v>
      </c>
      <c r="L43" s="11" t="inlineStr">
        <is>
          <t>2027-03-04</t>
        </is>
      </c>
      <c r="M43" s="8">
        <f>IF(ISNUMBER(H43),IF(H43&gt;'_轮次'!$A$1,"未截止","已截止"),"TBD")</f>
        <v/>
      </c>
      <c r="N43" s="8">
        <f>IF(ISNUMBER(H43),IF(H43&gt;'_轮次'!$A$1,INT(H43-'_轮次'!$A$1),"—"),"—")</f>
        <v/>
      </c>
      <c r="O43" s="12" t="inlineStr">
        <is>
          <t>June 5-11, 2027</t>
        </is>
      </c>
      <c r="P43" s="10" t="inlineStr">
        <is>
          <t>Atlanta, Georgia, USA</t>
        </is>
      </c>
      <c r="Q43" s="8" t="inlineStr">
        <is>
          <t>线下</t>
        </is>
      </c>
      <c r="R43" s="12" t="inlineStr">
        <is>
          <t>必须到场</t>
        </is>
      </c>
      <c r="S43" s="10" t="inlineStr">
        <is>
          <t>不允许远程报告</t>
        </is>
      </c>
      <c r="T43" s="8" t="inlineStr">
        <is>
          <t>不限</t>
        </is>
      </c>
      <c r="U43" s="8" t="inlineStr">
        <is>
          <t>—</t>
        </is>
      </c>
      <c r="V43" s="10" t="inlineStr">
        <is>
          <t>硬性｜每篇须 1 名资深作者注册 reserve reviewer（无资深作者可豁免）</t>
        </is>
      </c>
      <c r="W43" s="8" t="inlineStr">
        <is>
          <t>已核实</t>
        </is>
      </c>
      <c r="X43" s="10" t="inlineStr">
        <is>
          <t>—</t>
        </is>
      </c>
      <c r="Y43" s="12" t="inlineStr">
        <is>
          <t>https://pldi27.sigplan.org/</t>
        </is>
      </c>
      <c r="Z43" s="10" t="inlineStr">
        <is>
          <t>PACMPL 期刊式出版，一轮大改；核查:终审2027-04-01；重查:CFP 原文：Remote presentations will not be possible</t>
        </is>
      </c>
    </row>
    <row r="44" ht="32" customHeight="1">
      <c r="A44" s="2" t="n">
        <v>43</v>
      </c>
      <c r="B44" s="3" t="inlineStr">
        <is>
          <t>POPL</t>
        </is>
      </c>
      <c r="C44" s="4" t="inlineStr">
        <is>
          <t>ACM SIGPLAN-SIGACT Symposium on Principles of Programming Languages</t>
        </is>
      </c>
      <c r="D44" s="4" t="inlineStr">
        <is>
          <t>程序语言理论最高会，偏类型系统、程序语义与形式化基础</t>
        </is>
      </c>
      <c r="E44" s="2" t="inlineStr">
        <is>
          <t>软件工程/系统软件</t>
        </is>
      </c>
      <c r="F44" s="5" t="inlineStr">
        <is>
          <t>A</t>
        </is>
      </c>
      <c r="G44" s="6" t="inlineStr">
        <is>
          <t>—</t>
        </is>
      </c>
      <c r="H44" s="6" t="n">
        <v>46213.83263888889</v>
      </c>
      <c r="I44" s="7" t="inlineStr">
        <is>
          <t>Submission Deadline</t>
        </is>
      </c>
      <c r="J44" s="2" t="inlineStr">
        <is>
          <t>AoE</t>
        </is>
      </c>
      <c r="K44" s="6" t="n">
        <v>46276.83263888889</v>
      </c>
      <c r="L44" s="6" t="n">
        <v>46336.83263888889</v>
      </c>
      <c r="M44" s="2">
        <f>IF(ISNUMBER(H44),IF(H44&gt;'_轮次'!$A$1,"未截止","已截止"),"TBD")</f>
        <v/>
      </c>
      <c r="N44" s="2">
        <f>IF(ISNUMBER(H44),IF(H44&gt;'_轮次'!$A$1,INT(H44-'_轮次'!$A$1),"—"),"—")</f>
        <v/>
      </c>
      <c r="O44" s="7" t="inlineStr">
        <is>
          <t>January 10-16, 2027</t>
        </is>
      </c>
      <c r="P44" s="4" t="inlineStr">
        <is>
          <t>Mexico City</t>
        </is>
      </c>
      <c r="Q44" s="2" t="inlineStr">
        <is>
          <t>线下</t>
        </is>
      </c>
      <c r="R44" s="7" t="inlineStr">
        <is>
          <t>允许远程</t>
        </is>
      </c>
      <c r="S44" s="4" t="inlineStr">
        <is>
          <t>无法到场者提供远程报告选项</t>
        </is>
      </c>
      <c r="T44" s="2" t="inlineStr">
        <is>
          <t>不限</t>
        </is>
      </c>
      <c r="U44" s="2" t="inlineStr">
        <is>
          <t>—</t>
        </is>
      </c>
      <c r="V44" s="4" t="inlineStr">
        <is>
          <t>硬性｜每篇至少1名资深作者须在TPMS注册储备审稿人</t>
        </is>
      </c>
      <c r="W44" s="2" t="inlineStr">
        <is>
          <t>已核实</t>
        </is>
      </c>
      <c r="X44" s="4" t="inlineStr">
        <is>
          <t>—</t>
        </is>
      </c>
      <c r="Y44" s="7" t="inlineStr">
        <is>
          <t>https://popl27.sigplan.org/</t>
        </is>
      </c>
      <c r="Z44" s="4" t="inlineStr">
        <is>
          <t>PACMPL 期刊式出版，理论门槛高；核查:已明确作者受邀但非必须现场；无摘要截稿</t>
        </is>
      </c>
    </row>
    <row r="45" ht="32" customHeight="1">
      <c r="A45" s="8" t="n">
        <v>44</v>
      </c>
      <c r="B45" s="9" t="inlineStr">
        <is>
          <t>AAMAS</t>
        </is>
      </c>
      <c r="C45" s="10" t="inlineStr">
        <is>
          <t>International Conference on Autonomous Agents and Multiagent Systems</t>
        </is>
      </c>
      <c r="D45" s="10" t="inlineStr">
        <is>
          <t>智能体与多智能体系统主会，覆盖博弈、协作与强化学习</t>
        </is>
      </c>
      <c r="E45" s="8" t="inlineStr">
        <is>
          <t>人工智能</t>
        </is>
      </c>
      <c r="F45" s="13" t="inlineStr">
        <is>
          <t>B</t>
        </is>
      </c>
      <c r="G45" s="11" t="n">
        <v>46297.83263888889</v>
      </c>
      <c r="H45" s="11" t="n">
        <v>46304.83263888889</v>
      </c>
      <c r="I45" s="12" t="inlineStr">
        <is>
          <t>单轮</t>
        </is>
      </c>
      <c r="J45" s="8" t="inlineStr">
        <is>
          <t>AoE</t>
        </is>
      </c>
      <c r="K45" s="11" t="n">
        <v>46351.83263888889</v>
      </c>
      <c r="L45" s="11" t="inlineStr">
        <is>
          <t>2026-12-21</t>
        </is>
      </c>
      <c r="M45" s="8">
        <f>IF(ISNUMBER(H45),IF(H45&gt;'_轮次'!$A$1,"未截止","已截止"),"TBD")</f>
        <v/>
      </c>
      <c r="N45" s="8">
        <f>IF(ISNUMBER(H45),IF(H45&gt;'_轮次'!$A$1,INT(H45-'_轮次'!$A$1),"—"),"—")</f>
        <v/>
      </c>
      <c r="O45" s="12" t="inlineStr">
        <is>
          <t>May 3-7, 2027</t>
        </is>
      </c>
      <c r="P45" s="10" t="inlineStr">
        <is>
          <t>Hanoi, Vietnam</t>
        </is>
      </c>
      <c r="Q45" s="8" t="inlineStr">
        <is>
          <t>线下</t>
        </is>
      </c>
      <c r="R45" s="12" t="inlineStr">
        <is>
          <t>待确认</t>
        </is>
      </c>
      <c r="S45" s="10" t="inlineStr">
        <is>
          <t>待确认</t>
        </is>
      </c>
      <c r="T45" s="8" t="inlineStr">
        <is>
          <t>不限</t>
        </is>
      </c>
      <c r="U45" s="8" t="inlineStr">
        <is>
          <t>—</t>
        </is>
      </c>
      <c r="V45" s="10" t="inlineStr">
        <is>
          <t>未找到</t>
        </is>
      </c>
      <c r="W45" s="8" t="inlineStr">
        <is>
          <t>已核实</t>
        </is>
      </c>
      <c r="X45" s="10" t="inlineStr">
        <is>
          <t>是否到场、新人条款</t>
        </is>
      </c>
      <c r="Y45" s="12" t="inlineStr">
        <is>
          <t>https://warwick.ac.uk/fac/sci/dcs/aamas2027/</t>
        </is>
      </c>
      <c r="Z45" s="10" t="inlineStr">
        <is>
          <t>另有 JAAMAS 期刊投稿通道；核查:官网列2027主会日期，未写现场报告与远程政策</t>
        </is>
      </c>
    </row>
    <row r="46" ht="32" customHeight="1">
      <c r="A46" s="2" t="n">
        <v>45</v>
      </c>
      <c r="B46" s="3" t="inlineStr">
        <is>
          <t>COLING</t>
        </is>
      </c>
      <c r="C46" s="4" t="inlineStr">
        <is>
          <t>International Conference on Computational Linguistics</t>
        </is>
      </c>
      <c r="D46" s="4" t="inlineStr">
        <is>
          <t>计算语言学老牌会议，偏语言理解、多语处理与语料资源</t>
        </is>
      </c>
      <c r="E46" s="2" t="inlineStr">
        <is>
          <t>人工智能</t>
        </is>
      </c>
      <c r="F46" s="13" t="inlineStr">
        <is>
          <t>B</t>
        </is>
      </c>
      <c r="G46" s="6">
        <f>IF(ISNUMBER(H46),IF(N(INDEX('_轮次'!$N$46:$Y$46,MATCH(H46,'_轮次'!$B$46:$M$46,0)))=0,"—",INDEX('_轮次'!$N$46:$Y$46,MATCH(H46,'_轮次'!$B$46:$M$46,0))),"—")</f>
        <v/>
      </c>
      <c r="H46" s="6">
        <f>IF(COUNT('_轮次'!$B$46:$M$46)=0,"待公布",IF(COUNTIF('_轮次'!$B$46:$M$46,"&gt;"&amp;'_轮次'!$A$1)&gt;0,SMALL('_轮次'!$B$46:$M$46,COUNTIF('_轮次'!$B$46:$M$46,"&lt;="&amp;'_轮次'!$A$1)+1),MAX('_轮次'!$B$46:$M$46)))</f>
        <v/>
      </c>
      <c r="I46" s="7">
        <f>IF(ISNUMBER(H46),INDEX('_轮次'!$AX$46:$BI$46,MATCH(H46,'_轮次'!$B$46:$M$46,0)),"—")</f>
        <v/>
      </c>
      <c r="J46" s="2" t="inlineStr">
        <is>
          <t>UTC-12</t>
        </is>
      </c>
      <c r="K46" s="6">
        <f>IF(ISNUMBER(H46),IF(N(INDEX('_轮次'!$Z$46:$AK$46,MATCH(H46,'_轮次'!$B$46:$M$46,0)))=0,"—",INDEX('_轮次'!$Z$46:$AK$46,MATCH(H46,'_轮次'!$B$46:$M$46,0))),"—")</f>
        <v/>
      </c>
      <c r="L46" s="6">
        <f>IF(ISNUMBER(H46),IF(N(INDEX('_轮次'!$AL$46:$AW$46,MATCH(H46,'_轮次'!$B$46:$M$46,0)))=0,"—",INDEX('_轮次'!$AL$46:$AW$46,MATCH(H46,'_轮次'!$B$46:$M$46,0))),"—")</f>
        <v/>
      </c>
      <c r="M46" s="2">
        <f>IF(ISNUMBER(H46),IF(H46&gt;'_轮次'!$A$1,"未截止","已截止"),"TBD")</f>
        <v/>
      </c>
      <c r="N46" s="2">
        <f>IF(ISNUMBER(H46),IF(H46&gt;'_轮次'!$A$1,INT(H46-'_轮次'!$A$1),"—"),"—")</f>
        <v/>
      </c>
      <c r="O46" s="7" t="inlineStr">
        <is>
          <t>May 9-14, 2027</t>
        </is>
      </c>
      <c r="P46" s="4" t="inlineStr">
        <is>
          <t>Macau SAR, China</t>
        </is>
      </c>
      <c r="Q46" s="2" t="inlineStr">
        <is>
          <t>线下</t>
        </is>
      </c>
      <c r="R46" s="7" t="inlineStr">
        <is>
          <t>允许远程</t>
        </is>
      </c>
      <c r="S46" s="4" t="inlineStr">
        <is>
          <t>5月6-7日线上虚拟会场</t>
        </is>
      </c>
      <c r="T46" s="2" t="inlineStr">
        <is>
          <t>不限</t>
        </is>
      </c>
      <c r="U46" s="2" t="inlineStr">
        <is>
          <t>—</t>
        </is>
      </c>
      <c r="V46" s="4" t="inlineStr">
        <is>
          <t>未找到</t>
        </is>
      </c>
      <c r="W46" s="2" t="inlineStr">
        <is>
          <t>已核实</t>
        </is>
      </c>
      <c r="X46" s="4" t="inlineStr">
        <is>
          <t>新人条款</t>
        </is>
      </c>
      <c r="Y46" s="7" t="inlineStr">
        <is>
          <t>https://2027.coling-iccl.org/</t>
        </is>
      </c>
      <c r="Z46" s="4" t="inlineStr">
        <is>
          <t>核查:走ARR 10月轮，12-23需commitment；全部轮次 ARR Submission:2026-10-13 / COLING commitment after ARR meta-reviews; reviewed papers only:2026-12-24</t>
        </is>
      </c>
    </row>
    <row r="47" ht="32" customHeight="1">
      <c r="A47" s="8" t="n">
        <v>46</v>
      </c>
      <c r="B47" s="9" t="inlineStr">
        <is>
          <t>COLT</t>
        </is>
      </c>
      <c r="C47" s="10" t="inlineStr">
        <is>
          <t>Annual Conference on Learning Theory</t>
        </is>
      </c>
      <c r="D47" s="10" t="inlineStr">
        <is>
          <t>学习理论专会，偏泛化界、在线学习与统计学习基础理论</t>
        </is>
      </c>
      <c r="E47" s="8" t="inlineStr">
        <is>
          <t>人工智能</t>
        </is>
      </c>
      <c r="F47" s="13" t="inlineStr">
        <is>
          <t>B</t>
        </is>
      </c>
      <c r="G47" s="11" t="inlineStr">
        <is>
          <t>—</t>
        </is>
      </c>
      <c r="H47" s="11" t="inlineStr">
        <is>
          <t>待公布</t>
        </is>
      </c>
      <c r="I47" s="12" t="inlineStr">
        <is>
          <t>—</t>
        </is>
      </c>
      <c r="J47" s="8" t="inlineStr">
        <is>
          <t>AoE</t>
        </is>
      </c>
      <c r="K47" s="11" t="inlineStr">
        <is>
          <t>—</t>
        </is>
      </c>
      <c r="L47" s="11" t="inlineStr">
        <is>
          <t>待公布</t>
        </is>
      </c>
      <c r="M47" s="8">
        <f>IF(ISNUMBER(H47),IF(H47&gt;'_轮次'!$A$1,"未截止","已截止"),"TBD")</f>
        <v/>
      </c>
      <c r="N47" s="8">
        <f>IF(ISNUMBER(H47),IF(H47&gt;'_轮次'!$A$1,INT(H47-'_轮次'!$A$1),"—"),"—")</f>
        <v/>
      </c>
      <c r="O47" s="12" t="inlineStr">
        <is>
          <t>June 28 - July 2, 2027</t>
        </is>
      </c>
      <c r="P47" s="10" t="inlineStr">
        <is>
          <t>Tokyo, Japan</t>
        </is>
      </c>
      <c r="Q47" s="8" t="inlineStr">
        <is>
          <t>线下</t>
        </is>
      </c>
      <c r="R47" s="12" t="inlineStr">
        <is>
          <t>必须到场</t>
        </is>
      </c>
      <c r="S47" s="10" t="inlineStr">
        <is>
          <t>不设线上通道</t>
        </is>
      </c>
      <c r="T47" s="8" t="inlineStr">
        <is>
          <t>不限</t>
        </is>
      </c>
      <c r="U47" s="8" t="inlineStr">
        <is>
          <t>—</t>
        </is>
      </c>
      <c r="V47" s="10" t="inlineStr">
        <is>
          <t>CFP未发布</t>
        </is>
      </c>
      <c r="W47" s="8" t="inlineStr">
        <is>
          <t>2027CFP未发布</t>
        </is>
      </c>
      <c r="X47" s="10" t="inlineStr">
        <is>
          <t>截稿日、新人条款</t>
        </is>
      </c>
      <c r="Y47" s="12" t="inlineStr">
        <is>
          <t>https://learningtheory.org/colt2027/</t>
        </is>
      </c>
      <c r="Z47" s="10" t="inlineStr">
        <is>
          <t>偏理论，数学功底要求高；核查:仅公布会期6/28-7/2，各截止日均TBD</t>
        </is>
      </c>
    </row>
    <row r="48" ht="32" customHeight="1">
      <c r="A48" s="2" t="n">
        <v>47</v>
      </c>
      <c r="B48" s="3" t="inlineStr">
        <is>
          <t>ECAI</t>
        </is>
      </c>
      <c r="C48" s="4" t="inlineStr">
        <is>
          <t>European Conference on Artificial Intelligence</t>
        </is>
      </c>
      <c r="D48" s="4" t="inlineStr">
        <is>
          <t>欧洲人工智能主会，各方向均收，欧洲学界参与度高</t>
        </is>
      </c>
      <c r="E48" s="2" t="inlineStr">
        <is>
          <t>人工智能</t>
        </is>
      </c>
      <c r="F48" s="13" t="inlineStr">
        <is>
          <t>B</t>
        </is>
      </c>
      <c r="G48" s="6" t="inlineStr">
        <is>
          <t>—</t>
        </is>
      </c>
      <c r="H48" s="6" t="n">
        <v>46492.83263888889</v>
      </c>
      <c r="I48" s="7" t="inlineStr">
        <is>
          <t>单轮</t>
        </is>
      </c>
      <c r="J48" s="2" t="inlineStr">
        <is>
          <t>AoE</t>
        </is>
      </c>
      <c r="K48" s="6" t="n">
        <v>46557.83263888889</v>
      </c>
      <c r="L48" s="6" t="inlineStr">
        <is>
          <t>2027-07-15</t>
        </is>
      </c>
      <c r="M48" s="2">
        <f>IF(ISNUMBER(H48),IF(H48&gt;'_轮次'!$A$1,"未截止","已截止"),"TBD")</f>
        <v/>
      </c>
      <c r="N48" s="2">
        <f>IF(ISNUMBER(H48),IF(H48&gt;'_轮次'!$A$1,INT(H48-'_轮次'!$A$1),"—"),"—")</f>
        <v/>
      </c>
      <c r="O48" s="7" t="inlineStr">
        <is>
          <t>October 2-7, 2027</t>
        </is>
      </c>
      <c r="P48" s="4" t="inlineStr">
        <is>
          <t>Athens, Greece</t>
        </is>
      </c>
      <c r="Q48" s="2" t="inlineStr">
        <is>
          <t>线下</t>
        </is>
      </c>
      <c r="R48" s="7" t="inlineStr">
        <is>
          <t>待确认</t>
        </is>
      </c>
      <c r="S48" s="4" t="inlineStr">
        <is>
          <t>待确认</t>
        </is>
      </c>
      <c r="T48" s="2" t="inlineStr">
        <is>
          <t>不限</t>
        </is>
      </c>
      <c r="U48" s="2" t="inlineStr">
        <is>
          <t>—</t>
        </is>
      </c>
      <c r="V48" s="4" t="inlineStr">
        <is>
          <t>利好｜通道 Doctoral Consortium, STAIRS</t>
        </is>
      </c>
      <c r="W48" s="2" t="inlineStr">
        <is>
          <t>已核实</t>
        </is>
      </c>
      <c r="X48" s="4" t="inlineStr">
        <is>
          <t>是否到场</t>
        </is>
      </c>
      <c r="Y48" s="7" t="inlineStr">
        <is>
          <t>https://ecai2027.org/</t>
        </is>
      </c>
      <c r="Z48" s="4" t="inlineStr">
        <is>
          <t>核查:强调in person举办，但未写作者到场硬性要求</t>
        </is>
      </c>
    </row>
    <row r="49" ht="32" customHeight="1">
      <c r="A49" s="8" t="n">
        <v>48</v>
      </c>
      <c r="B49" s="9" t="inlineStr">
        <is>
          <t>ICAPS</t>
        </is>
      </c>
      <c r="C49" s="10" t="inlineStr">
        <is>
          <t>International Conference on Automated Planning and Scheduling</t>
        </is>
      </c>
      <c r="D49" s="10" t="inlineStr">
        <is>
          <t>自动规划与调度专会，覆盖规划算法、调度优化与机器人应用</t>
        </is>
      </c>
      <c r="E49" s="8" t="inlineStr">
        <is>
          <t>人工智能</t>
        </is>
      </c>
      <c r="F49" s="13" t="inlineStr">
        <is>
          <t>B</t>
        </is>
      </c>
      <c r="G49" s="11" t="n">
        <v>46364.83263888889</v>
      </c>
      <c r="H49" s="11" t="n">
        <v>46371.83263888889</v>
      </c>
      <c r="I49" s="12" t="inlineStr">
        <is>
          <t>单轮</t>
        </is>
      </c>
      <c r="J49" s="8" t="inlineStr">
        <is>
          <t>UTC-12</t>
        </is>
      </c>
      <c r="K49" s="11" t="n">
        <v>46423.83263888889</v>
      </c>
      <c r="L49" s="11" t="n">
        <v>46445.83263888889</v>
      </c>
      <c r="M49" s="8">
        <f>IF(ISNUMBER(H49),IF(H49&gt;'_轮次'!$A$1,"未截止","已截止"),"TBD")</f>
        <v/>
      </c>
      <c r="N49" s="8">
        <f>IF(ISNUMBER(H49),IF(H49&gt;'_轮次'!$A$1,INT(H49-'_轮次'!$A$1),"—"),"—")</f>
        <v/>
      </c>
      <c r="O49" s="12" t="inlineStr">
        <is>
          <t>June 27 - July 2, 2027</t>
        </is>
      </c>
      <c r="P49" s="10" t="inlineStr">
        <is>
          <t>Columbia, SC, USA</t>
        </is>
      </c>
      <c r="Q49" s="8" t="inlineStr">
        <is>
          <t>线下</t>
        </is>
      </c>
      <c r="R49" s="12" t="inlineStr">
        <is>
          <t>待确认</t>
        </is>
      </c>
      <c r="S49" s="10" t="inlineStr">
        <is>
          <t>待确认</t>
        </is>
      </c>
      <c r="T49" s="8" t="inlineStr">
        <is>
          <t>不限</t>
        </is>
      </c>
      <c r="U49" s="8" t="inlineStr">
        <is>
          <t>—</t>
        </is>
      </c>
      <c r="V49" s="10" t="inlineStr">
        <is>
          <t>CFP未发布</t>
        </is>
      </c>
      <c r="W49" s="8" t="inlineStr">
        <is>
          <t>2027CFP未发布</t>
        </is>
      </c>
      <c r="X49" s="10" t="inlineStr">
        <is>
          <t>是否到场、新人条款</t>
        </is>
      </c>
      <c r="Y49" s="12" t="inlineStr">
        <is>
          <t>https://icaps27.icaps-conference.org/</t>
        </is>
      </c>
      <c r="Z49" s="10" t="inlineStr">
        <is>
          <t>核查:官网仅有会期地点，无征稿信息</t>
        </is>
      </c>
    </row>
    <row r="50" ht="32" customHeight="1">
      <c r="A50" s="2" t="n">
        <v>49</v>
      </c>
      <c r="B50" s="3" t="inlineStr">
        <is>
          <t>ICRA</t>
        </is>
      </c>
      <c r="C50" s="4" t="inlineStr">
        <is>
          <t>IEEE International Conference on Robotics and Automation</t>
        </is>
      </c>
      <c r="D50" s="4" t="inlineStr">
        <is>
          <t>机器人与自动化规模最大会议，覆盖感知、控制与具身应用</t>
        </is>
      </c>
      <c r="E50" s="2" t="inlineStr">
        <is>
          <t>人工智能</t>
        </is>
      </c>
      <c r="F50" s="13" t="inlineStr">
        <is>
          <t>B</t>
        </is>
      </c>
      <c r="G50" s="6" t="inlineStr">
        <is>
          <t>—</t>
        </is>
      </c>
      <c r="H50" s="6" t="n">
        <v>46282.66597222222</v>
      </c>
      <c r="I50" s="7" t="inlineStr">
        <is>
          <t>Extended submission deadline</t>
        </is>
      </c>
      <c r="J50" s="2" t="inlineStr">
        <is>
          <t>UTC-8</t>
        </is>
      </c>
      <c r="K50" s="6" t="inlineStr">
        <is>
          <t>—</t>
        </is>
      </c>
      <c r="L50" s="6" t="n">
        <v>46419.83263888889</v>
      </c>
      <c r="M50" s="2">
        <f>IF(ISNUMBER(H50),IF(H50&gt;'_轮次'!$A$1,"未截止","已截止"),"TBD")</f>
        <v/>
      </c>
      <c r="N50" s="2">
        <f>IF(ISNUMBER(H50),IF(H50&gt;'_轮次'!$A$1,INT(H50-'_轮次'!$A$1),"—"),"—")</f>
        <v/>
      </c>
      <c r="O50" s="7" t="inlineStr">
        <is>
          <t>May 24-28, 2027</t>
        </is>
      </c>
      <c r="P50" s="4" t="inlineStr">
        <is>
          <t>Seoul, Republic of Korea</t>
        </is>
      </c>
      <c r="Q50" s="2" t="inlineStr">
        <is>
          <t>线下</t>
        </is>
      </c>
      <c r="R50" s="7" t="inlineStr">
        <is>
          <t>必须到场</t>
        </is>
      </c>
      <c r="S50" s="4" t="inlineStr">
        <is>
          <t>设卫星会场</t>
        </is>
      </c>
      <c r="T50" s="2" t="inlineStr">
        <is>
          <t>不限</t>
        </is>
      </c>
      <c r="U50" s="2" t="inlineStr">
        <is>
          <t>—</t>
        </is>
      </c>
      <c r="V50" s="4" t="inlineStr">
        <is>
          <t>未找到</t>
        </is>
      </c>
      <c r="W50" s="2" t="inlineStr">
        <is>
          <t>已核实</t>
        </is>
      </c>
      <c r="X50" s="4" t="inlineStr">
        <is>
          <t>新人条款</t>
        </is>
      </c>
      <c r="Y50" s="7" t="inlineStr">
        <is>
          <t>https://2027.ieee-icra.org/</t>
        </is>
      </c>
      <c r="Z50" s="4" t="inlineStr">
        <is>
          <t>可转投 RA-L，篇幅更短周期更快；核查:已发CFP公告，随文视频9/18-22；正刊截稿未见</t>
        </is>
      </c>
    </row>
    <row r="51" ht="32" customHeight="1">
      <c r="A51" s="8" t="n">
        <v>50</v>
      </c>
      <c r="B51" s="9" t="inlineStr">
        <is>
          <t>IJCAI</t>
        </is>
      </c>
      <c r="C51" s="10" t="inlineStr">
        <is>
          <t>International Joint Conference on Artificial Intelligence</t>
        </is>
      </c>
      <c r="D51" s="10" t="inlineStr">
        <is>
          <t>AI 综合顶会，机器学习、推理、多智能体等方向全覆盖</t>
        </is>
      </c>
      <c r="E51" s="8" t="inlineStr">
        <is>
          <t>人工智能</t>
        </is>
      </c>
      <c r="F51" s="13" t="inlineStr">
        <is>
          <t>B</t>
        </is>
      </c>
      <c r="G51" s="11" t="n">
        <v>46392.83263888889</v>
      </c>
      <c r="H51" s="11" t="n">
        <v>46399.83263888889</v>
      </c>
      <c r="I51" s="12" t="inlineStr">
        <is>
          <t>Separate satellite event: August 15-17, 2027, Hengqin, China</t>
        </is>
      </c>
      <c r="J51" s="8" t="inlineStr">
        <is>
          <t>AoE</t>
        </is>
      </c>
      <c r="K51" s="11" t="inlineStr">
        <is>
          <t>—</t>
        </is>
      </c>
      <c r="L51" s="11" t="inlineStr">
        <is>
          <t>2027-04-21</t>
        </is>
      </c>
      <c r="M51" s="8">
        <f>IF(ISNUMBER(H51),IF(H51&gt;'_轮次'!$A$1,"未截止","已截止"),"TBD")</f>
        <v/>
      </c>
      <c r="N51" s="8">
        <f>IF(ISNUMBER(H51),IF(H51&gt;'_轮次'!$A$1,INT(H51-'_轮次'!$A$1),"—"),"—")</f>
        <v/>
      </c>
      <c r="O51" s="12" t="inlineStr">
        <is>
          <t>August 7-13, 2027</t>
        </is>
      </c>
      <c r="P51" s="10" t="inlineStr">
        <is>
          <t>Kyoto, Japan</t>
        </is>
      </c>
      <c r="Q51" s="8" t="inlineStr">
        <is>
          <t>线下</t>
        </is>
      </c>
      <c r="R51" s="12" t="inlineStr">
        <is>
          <t>必须到场</t>
        </is>
      </c>
      <c r="S51" s="10" t="inlineStr">
        <is>
          <t>不设线上通道</t>
        </is>
      </c>
      <c r="T51" s="8" t="inlineStr">
        <is>
          <t>不限</t>
        </is>
      </c>
      <c r="U51" s="8" t="inlineStr">
        <is>
          <t>—</t>
        </is>
      </c>
      <c r="V51" s="10" t="inlineStr">
        <is>
          <t>未找到</t>
        </is>
      </c>
      <c r="W51" s="8" t="inlineStr">
        <is>
          <t>已核实</t>
        </is>
      </c>
      <c r="X51" s="10" t="inlineStr">
        <is>
          <t>新人条款</t>
        </is>
      </c>
      <c r="Y51" s="12" t="inlineStr">
        <is>
          <t>https://2027.ijcai.org/</t>
        </is>
      </c>
      <c r="Z51" s="10" t="inlineStr">
        <is>
          <t>摘要需提前注册，与 ECAI 为姊妹会；核查:摘要截止2027-01-04；日程页未提参会/篇数政策</t>
        </is>
      </c>
    </row>
    <row r="52" ht="32" customHeight="1">
      <c r="A52" s="2" t="n">
        <v>51</v>
      </c>
      <c r="B52" s="3" t="inlineStr">
        <is>
          <t>KR</t>
        </is>
      </c>
      <c r="C52" s="4" t="inlineStr">
        <is>
          <t>International Conference on Principles of Knowledge Representation and Reasoning</t>
        </is>
      </c>
      <c r="D52" s="4" t="inlineStr">
        <is>
          <t>知识表示与推理专会，偏本体建模、逻辑与非单调推理</t>
        </is>
      </c>
      <c r="E52" s="2" t="inlineStr">
        <is>
          <t>人工智能</t>
        </is>
      </c>
      <c r="F52" s="13" t="inlineStr">
        <is>
          <t>B</t>
        </is>
      </c>
      <c r="G52" s="6" t="n">
        <v>46501.83263888889</v>
      </c>
      <c r="H52" s="6" t="n">
        <v>46506.83263888889</v>
      </c>
      <c r="I52" s="7" t="inlineStr">
        <is>
          <t>Main track; author response period: June 15-18, 2027</t>
        </is>
      </c>
      <c r="J52" s="2" t="inlineStr">
        <is>
          <t>AoE</t>
        </is>
      </c>
      <c r="K52" s="6" t="n">
        <v>46557.83263888889</v>
      </c>
      <c r="L52" s="6" t="n">
        <v>46569.83263888889</v>
      </c>
      <c r="M52" s="2">
        <f>IF(ISNUMBER(H52),IF(H52&gt;'_轮次'!$A$1,"未截止","已截止"),"TBD")</f>
        <v/>
      </c>
      <c r="N52" s="2">
        <f>IF(ISNUMBER(H52),IF(H52&gt;'_轮次'!$A$1,INT(H52-'_轮次'!$A$1),"—"),"—")</f>
        <v/>
      </c>
      <c r="O52" s="7" t="inlineStr">
        <is>
          <t>September 21-24, 2027</t>
        </is>
      </c>
      <c r="P52" s="4" t="inlineStr">
        <is>
          <t>Buenos Aires, Argentina</t>
        </is>
      </c>
      <c r="Q52" s="2" t="inlineStr">
        <is>
          <t>线下</t>
        </is>
      </c>
      <c r="R52" s="7" t="inlineStr">
        <is>
          <t>待确认</t>
        </is>
      </c>
      <c r="S52" s="4" t="inlineStr">
        <is>
          <t>待确认</t>
        </is>
      </c>
      <c r="T52" s="2" t="inlineStr">
        <is>
          <t>不限</t>
        </is>
      </c>
      <c r="U52" s="2" t="inlineStr">
        <is>
          <t>—</t>
        </is>
      </c>
      <c r="V52" s="4" t="inlineStr">
        <is>
          <t>未找到</t>
        </is>
      </c>
      <c r="W52" s="2" t="inlineStr">
        <is>
          <t>未找到</t>
        </is>
      </c>
      <c r="X52" s="4" t="inlineStr">
        <is>
          <t>是否到场、新人条款</t>
        </is>
      </c>
      <c r="Y52" s="7" t="inlineStr">
        <is>
          <t>https://kr.org/KR2027/</t>
        </is>
      </c>
      <c r="Z52" s="4" t="inlineStr">
        <is>
          <t>核查:官网仅会议信息无CFP；第三方称截稿2027-04-28</t>
        </is>
      </c>
    </row>
    <row r="53" ht="32" customHeight="1">
      <c r="A53" s="8" t="n">
        <v>52</v>
      </c>
      <c r="B53" s="9" t="inlineStr">
        <is>
          <t>NAACL</t>
        </is>
      </c>
      <c r="C53" s="10" t="inlineStr">
        <is>
          <t>The Annual Conference of the North American Chapter of the Association for Computational Linguistics</t>
        </is>
      </c>
      <c r="D53" s="10" t="inlineStr">
        <is>
          <t>北美计算语言学分会年会，NLP 全方向，经 ARR 滚动评审，重语言分析与多语种</t>
        </is>
      </c>
      <c r="E53" s="8" t="inlineStr">
        <is>
          <t>人工智能</t>
        </is>
      </c>
      <c r="F53" s="13" t="inlineStr">
        <is>
          <t>B</t>
        </is>
      </c>
      <c r="G53" s="11">
        <f>IF(ISNUMBER(H53),IF(N(INDEX('_轮次'!$N$53:$Y$53,MATCH(H53,'_轮次'!$B$53:$M$53,0)))=0,"—",INDEX('_轮次'!$N$53:$Y$53,MATCH(H53,'_轮次'!$B$53:$M$53,0))),"—")</f>
        <v/>
      </c>
      <c r="H53" s="11">
        <f>IF(COUNT('_轮次'!$B$53:$M$53)=0,"待公布",IF(COUNTIF('_轮次'!$B$53:$M$53,"&gt;"&amp;'_轮次'!$A$1)&gt;0,SMALL('_轮次'!$B$53:$M$53,COUNTIF('_轮次'!$B$53:$M$53,"&lt;="&amp;'_轮次'!$A$1)+1),MAX('_轮次'!$B$53:$M$53)))</f>
        <v/>
      </c>
      <c r="I53" s="12">
        <f>IF(ISNUMBER(H53),INDEX('_轮次'!$AX$53:$BI$53,MATCH(H53,'_轮次'!$B$53:$M$53,0)),"—")</f>
        <v/>
      </c>
      <c r="J53" s="8" t="inlineStr">
        <is>
          <t>UTC-12</t>
        </is>
      </c>
      <c r="K53" s="11">
        <f>IF(ISNUMBER(H53),IF(N(INDEX('_轮次'!$Z$53:$AK$53,MATCH(H53,'_轮次'!$B$53:$M$53,0)))=0,"—",INDEX('_轮次'!$Z$53:$AK$53,MATCH(H53,'_轮次'!$B$53:$M$53,0))),"—")</f>
        <v/>
      </c>
      <c r="L53" s="11">
        <f>IF(ISNUMBER(H53),IF(N(INDEX('_轮次'!$AL$53:$AW$53,MATCH(H53,'_轮次'!$B$53:$M$53,0)))=0,"—",INDEX('_轮次'!$AL$53:$AW$53,MATCH(H53,'_轮次'!$B$53:$M$53,0))),"—")</f>
        <v/>
      </c>
      <c r="M53" s="8">
        <f>IF(ISNUMBER(H53),IF(H53&gt;'_轮次'!$A$1,"未截止","已截止"),"TBD")</f>
        <v/>
      </c>
      <c r="N53" s="8">
        <f>IF(ISNUMBER(H53),IF(H53&gt;'_轮次'!$A$1,INT(H53-'_轮次'!$A$1),"—"),"—")</f>
        <v/>
      </c>
      <c r="O53" s="12" t="inlineStr">
        <is>
          <t>June 1-5, 2027</t>
        </is>
      </c>
      <c r="P53" s="10" t="inlineStr">
        <is>
          <t>San Francisco, California, USA</t>
        </is>
      </c>
      <c r="Q53" s="8" t="inlineStr">
        <is>
          <t>线下</t>
        </is>
      </c>
      <c r="R53" s="12" t="inlineStr">
        <is>
          <t>待确认</t>
        </is>
      </c>
      <c r="S53" s="10" t="inlineStr">
        <is>
          <t>待确认</t>
        </is>
      </c>
      <c r="T53" s="8" t="inlineStr">
        <is>
          <t>不限</t>
        </is>
      </c>
      <c r="U53" s="8" t="inlineStr">
        <is>
          <t>—</t>
        </is>
      </c>
      <c r="V53" s="10" t="inlineStr">
        <is>
          <t>硬性｜每篇投稿须指定合格 service contributor 并登记</t>
        </is>
      </c>
      <c r="W53" s="8" t="inlineStr">
        <is>
          <t>已核实</t>
        </is>
      </c>
      <c r="X53" s="10" t="inlineStr">
        <is>
          <t>是否到场</t>
        </is>
      </c>
      <c r="Y53" s="12" t="inlineStr">
        <is>
          <t>https://2027.naacl.org/</t>
        </is>
      </c>
      <c r="Z53" s="10" t="inlineStr">
        <is>
          <t>投稿走 ACL Rolling Review，非直接投会议；核查:走ARR，commitment截止2026-12-23；全部轮次 ARR Submission:2026-10-13 / NAACL commitment after ARR meta-reviews; reviewed papers only:2026-12-24</t>
        </is>
      </c>
    </row>
    <row r="54" ht="32" customHeight="1">
      <c r="A54" s="2" t="n">
        <v>53</v>
      </c>
      <c r="B54" s="3" t="inlineStr">
        <is>
          <t>DCC</t>
        </is>
      </c>
      <c r="C54" s="4" t="inlineStr">
        <is>
          <t>Data Compression Conference</t>
        </is>
      </c>
      <c r="D54" s="4" t="inlineStr">
        <is>
          <t>数据压缩专会，无损与有损编码、图像视频压缩、压缩感知，规模小而专</t>
        </is>
      </c>
      <c r="E54" s="2" t="inlineStr">
        <is>
          <t>图形学与多媒体</t>
        </is>
      </c>
      <c r="F54" s="13" t="inlineStr">
        <is>
          <t>B</t>
        </is>
      </c>
      <c r="G54" s="6" t="inlineStr">
        <is>
          <t>—</t>
        </is>
      </c>
      <c r="H54" s="6" t="n">
        <v>46305.62430555555</v>
      </c>
      <c r="I54" s="7" t="inlineStr">
        <is>
          <t>单轮</t>
        </is>
      </c>
      <c r="J54" s="2" t="inlineStr">
        <is>
          <t>PT</t>
        </is>
      </c>
      <c r="K54" s="6" t="inlineStr">
        <is>
          <t>—</t>
        </is>
      </c>
      <c r="L54" s="6" t="n">
        <v>46349.83263888889</v>
      </c>
      <c r="M54" s="2">
        <f>IF(ISNUMBER(H54),IF(H54&gt;'_轮次'!$A$1,"未截止","已截止"),"TBD")</f>
        <v/>
      </c>
      <c r="N54" s="2">
        <f>IF(ISNUMBER(H54),IF(H54&gt;'_轮次'!$A$1,INT(H54-'_轮次'!$A$1),"—"),"—")</f>
        <v/>
      </c>
      <c r="O54" s="7" t="inlineStr">
        <is>
          <t>March 23-26, 2027</t>
        </is>
      </c>
      <c r="P54" s="4" t="inlineStr">
        <is>
          <t>Snowbird, Utah, United States</t>
        </is>
      </c>
      <c r="Q54" s="2" t="inlineStr">
        <is>
          <t>线下</t>
        </is>
      </c>
      <c r="R54" s="7" t="inlineStr">
        <is>
          <t>待确认</t>
        </is>
      </c>
      <c r="S54" s="4" t="inlineStr">
        <is>
          <t>待确认</t>
        </is>
      </c>
      <c r="T54" s="2" t="inlineStr">
        <is>
          <t>不限</t>
        </is>
      </c>
      <c r="U54" s="2" t="inlineStr">
        <is>
          <t>—</t>
        </is>
      </c>
      <c r="V54" s="4" t="inlineStr">
        <is>
          <t>无专属条款</t>
        </is>
      </c>
      <c r="W54" s="2" t="inlineStr">
        <is>
          <t>已核实</t>
        </is>
      </c>
      <c r="X54" s="4" t="inlineStr">
        <is>
          <t>是否到场</t>
        </is>
      </c>
      <c r="Y54" s="7" t="inlineStr">
        <is>
          <t>https://datacompressionconference.org/</t>
        </is>
      </c>
      <c r="Z54" s="4" t="inlineStr">
        <is>
          <t>单轨小会，常与数据压缩领域工业界合办；核查:由10-02延期至10-09（美太平洋时间）；通知日未公布</t>
        </is>
      </c>
    </row>
    <row r="55" ht="32" customHeight="1">
      <c r="A55" s="8" t="n">
        <v>54</v>
      </c>
      <c r="B55" s="9" t="inlineStr">
        <is>
          <t>EuroVis</t>
        </is>
      </c>
      <c r="C55" s="10" t="inlineStr">
        <is>
          <t>Eurographics Conference on Visualization</t>
        </is>
      </c>
      <c r="D55" s="10" t="inlineStr">
        <is>
          <t>欧洲可视化年会，信息可视化与科学可视化并重，重设计方法与用户实验</t>
        </is>
      </c>
      <c r="E55" s="8" t="inlineStr">
        <is>
          <t>图形学与多媒体</t>
        </is>
      </c>
      <c r="F55" s="13" t="inlineStr">
        <is>
          <t>B</t>
        </is>
      </c>
      <c r="G55" s="11" t="inlineStr">
        <is>
          <t>—</t>
        </is>
      </c>
      <c r="H55" s="11" t="inlineStr">
        <is>
          <t>待公布</t>
        </is>
      </c>
      <c r="I55" s="12" t="inlineStr">
        <is>
          <t>—</t>
        </is>
      </c>
      <c r="J55" s="8" t="inlineStr">
        <is>
          <t>AoE</t>
        </is>
      </c>
      <c r="K55" s="11" t="inlineStr">
        <is>
          <t>—</t>
        </is>
      </c>
      <c r="L55" s="11" t="inlineStr">
        <is>
          <t>待公布</t>
        </is>
      </c>
      <c r="M55" s="8">
        <f>IF(ISNUMBER(H55),IF(H55&gt;'_轮次'!$A$1,"未截止","已截止"),"TBD")</f>
        <v/>
      </c>
      <c r="N55" s="8">
        <f>IF(ISNUMBER(H55),IF(H55&gt;'_轮次'!$A$1,INT(H55-'_轮次'!$A$1),"—"),"—")</f>
        <v/>
      </c>
      <c r="O55" s="12" t="inlineStr">
        <is>
          <t>May 31-June 4, 2027</t>
        </is>
      </c>
      <c r="P55" s="10" t="inlineStr">
        <is>
          <t>Stuttgart, Germany</t>
        </is>
      </c>
      <c r="Q55" s="8" t="inlineStr">
        <is>
          <t>线下</t>
        </is>
      </c>
      <c r="R55" s="12" t="inlineStr">
        <is>
          <t>待确认</t>
        </is>
      </c>
      <c r="S55" s="10" t="inlineStr">
        <is>
          <t>待确认</t>
        </is>
      </c>
      <c r="T55" s="8" t="inlineStr">
        <is>
          <t>不限</t>
        </is>
      </c>
      <c r="U55" s="8" t="inlineStr">
        <is>
          <t>—</t>
        </is>
      </c>
      <c r="V55" s="10" t="inlineStr">
        <is>
          <t>未找到</t>
        </is>
      </c>
      <c r="W55" s="8" t="inlineStr">
        <is>
          <t>未找到</t>
        </is>
      </c>
      <c r="X55" s="10" t="inlineStr">
        <is>
          <t>截稿日、是否到场、新人条款</t>
        </is>
      </c>
      <c r="Y55" s="12" t="inlineStr">
        <is>
          <t>https://eurovis27.github.io/web/</t>
        </is>
      </c>
      <c r="Z55" s="10" t="inlineStr">
        <is>
          <t>全文经 CGF 期刊轨出版；核查:仅公布workshop/STAR日期，full paper截稿未出</t>
        </is>
      </c>
    </row>
    <row r="56" ht="32" customHeight="1">
      <c r="A56" s="2" t="n">
        <v>55</v>
      </c>
      <c r="B56" s="3" t="inlineStr">
        <is>
          <t>Eurographics</t>
        </is>
      </c>
      <c r="C56" s="4" t="inlineStr">
        <is>
          <t>Eurographics</t>
        </is>
      </c>
      <c r="D56" s="4" t="inlineStr">
        <is>
          <t>欧洲图形学学会年会，渲染、几何、动画、建模全覆盖，图形学欧洲主会</t>
        </is>
      </c>
      <c r="E56" s="2" t="inlineStr">
        <is>
          <t>图形学与多媒体</t>
        </is>
      </c>
      <c r="F56" s="13" t="inlineStr">
        <is>
          <t>B</t>
        </is>
      </c>
      <c r="G56" s="6" t="n">
        <v>46291.83263888889</v>
      </c>
      <c r="H56" s="6" t="n">
        <v>46297.83263888889</v>
      </c>
      <c r="I56" s="7" t="inlineStr">
        <is>
          <t>单轮</t>
        </is>
      </c>
      <c r="J56" s="2" t="inlineStr">
        <is>
          <t>UTC</t>
        </is>
      </c>
      <c r="K56" s="6" t="n">
        <v>46357.33263888889</v>
      </c>
      <c r="L56" s="6" t="n">
        <v>46428.33263888889</v>
      </c>
      <c r="M56" s="2">
        <f>IF(ISNUMBER(H56),IF(H56&gt;'_轮次'!$A$1,"未截止","已截止"),"TBD")</f>
        <v/>
      </c>
      <c r="N56" s="2">
        <f>IF(ISNUMBER(H56),IF(H56&gt;'_轮次'!$A$1,INT(H56-'_轮次'!$A$1),"—"),"—")</f>
        <v/>
      </c>
      <c r="O56" s="7" t="inlineStr">
        <is>
          <t>May 10-14, 2027</t>
        </is>
      </c>
      <c r="P56" s="4" t="inlineStr">
        <is>
          <t>Lucca, Italy</t>
        </is>
      </c>
      <c r="Q56" s="2" t="inlineStr">
        <is>
          <t>线下</t>
        </is>
      </c>
      <c r="R56" s="7" t="inlineStr">
        <is>
          <t>待确认</t>
        </is>
      </c>
      <c r="S56" s="4" t="inlineStr">
        <is>
          <t>待确认</t>
        </is>
      </c>
      <c r="T56" s="2" t="inlineStr">
        <is>
          <t>不限</t>
        </is>
      </c>
      <c r="U56" s="2" t="inlineStr">
        <is>
          <t>—</t>
        </is>
      </c>
      <c r="V56" s="4" t="inlineStr">
        <is>
          <t>未找到</t>
        </is>
      </c>
      <c r="W56" s="2" t="inlineStr">
        <is>
          <t>未找到</t>
        </is>
      </c>
      <c r="X56" s="4" t="inlineStr">
        <is>
          <t>是否到场、新人条款</t>
        </is>
      </c>
      <c r="Y56" s="7" t="inlineStr">
        <is>
          <t>https://eg2027.isti.cnr.it/</t>
        </is>
      </c>
      <c r="Z56" s="4" t="inlineStr">
        <is>
          <t>full paper 经 CGF 期刊轨发表；核查:仅见STAR截稿2026-10-19 AoE；full paper页404</t>
        </is>
      </c>
    </row>
    <row r="57" ht="32" customHeight="1">
      <c r="A57" s="8" t="n">
        <v>56</v>
      </c>
      <c r="B57" s="9" t="inlineStr">
        <is>
          <t>ICASSP</t>
        </is>
      </c>
      <c r="C57" s="10" t="inlineStr">
        <is>
          <t>IEEE International Conference on Acoustics, Speech, and Signal Processing</t>
        </is>
      </c>
      <c r="D57" s="10" t="inlineStr">
        <is>
          <t>语音与信号处理旗舰会，声学、语音、音频、阵列信号全覆盖，规模超大</t>
        </is>
      </c>
      <c r="E57" s="8" t="inlineStr">
        <is>
          <t>图形学与多媒体</t>
        </is>
      </c>
      <c r="F57" s="13" t="inlineStr">
        <is>
          <t>B</t>
        </is>
      </c>
      <c r="G57" s="11" t="inlineStr">
        <is>
          <t>—</t>
        </is>
      </c>
      <c r="H57" s="11" t="n">
        <v>46289.83263888889</v>
      </c>
      <c r="I57" s="12" t="inlineStr">
        <is>
          <t>单轮</t>
        </is>
      </c>
      <c r="J57" s="8" t="inlineStr">
        <is>
          <t>UTC-12</t>
        </is>
      </c>
      <c r="K57" s="11" t="inlineStr">
        <is>
          <t>—</t>
        </is>
      </c>
      <c r="L57" s="11" t="inlineStr">
        <is>
          <t>2027-01-13</t>
        </is>
      </c>
      <c r="M57" s="8">
        <f>IF(ISNUMBER(H57),IF(H57&gt;'_轮次'!$A$1,"未截止","已截止"),"TBD")</f>
        <v/>
      </c>
      <c r="N57" s="8">
        <f>IF(ISNUMBER(H57),IF(H57&gt;'_轮次'!$A$1,INT(H57-'_轮次'!$A$1),"—"),"—")</f>
        <v/>
      </c>
      <c r="O57" s="12" t="inlineStr">
        <is>
          <t>May 16-21, 2027</t>
        </is>
      </c>
      <c r="P57" s="10" t="inlineStr">
        <is>
          <t>Toronto, Canada</t>
        </is>
      </c>
      <c r="Q57" s="8" t="inlineStr">
        <is>
          <t>线下</t>
        </is>
      </c>
      <c r="R57" s="12" t="inlineStr">
        <is>
          <t>必须到场</t>
        </is>
      </c>
      <c r="S57" s="10" t="inlineStr">
        <is>
          <t>不设线上报告通道</t>
        </is>
      </c>
      <c r="T57" s="8" t="inlineStr">
        <is>
          <t>不限</t>
        </is>
      </c>
      <c r="U57" s="8" t="inlineStr">
        <is>
          <t>—</t>
        </is>
      </c>
      <c r="V57" s="10" t="inlineStr">
        <is>
          <t>无专属条款</t>
        </is>
      </c>
      <c r="W57" s="8" t="inlineStr">
        <is>
          <t>已核实</t>
        </is>
      </c>
      <c r="X57" s="10" t="inlineStr">
        <is>
          <t>—</t>
        </is>
      </c>
      <c r="Y57" s="12" t="inlineStr">
        <is>
          <t>https://2027.ieeeicassp.org/</t>
        </is>
      </c>
      <c r="Z57" s="10" t="inlineStr">
        <is>
          <t>接收后需现场报告，缺席可能撤稿；核查:终稿2027-01-27，作者注册2027-02-10</t>
        </is>
      </c>
    </row>
    <row r="58" ht="32" customHeight="1">
      <c r="A58" s="2" t="n">
        <v>57</v>
      </c>
      <c r="B58" s="3" t="inlineStr">
        <is>
          <t>ICME</t>
        </is>
      </c>
      <c r="C58" s="4" t="inlineStr">
        <is>
          <t>The IEEE International Conference on Multimedia &amp; Expo</t>
        </is>
      </c>
      <c r="D58" s="4" t="inlineStr">
        <is>
          <t>多媒体旗舰会之一，多媒体分析、检索、编码与系统，工业界展示环节多</t>
        </is>
      </c>
      <c r="E58" s="2" t="inlineStr">
        <is>
          <t>图形学与多媒体</t>
        </is>
      </c>
      <c r="F58" s="13" t="inlineStr">
        <is>
          <t>B</t>
        </is>
      </c>
      <c r="G58" s="6" t="inlineStr">
        <is>
          <t>—</t>
        </is>
      </c>
      <c r="H58" s="6" t="n">
        <v>46387.83263888889</v>
      </c>
      <c r="I58" s="7" t="inlineStr">
        <is>
          <t>单轮</t>
        </is>
      </c>
      <c r="J58" s="2" t="inlineStr">
        <is>
          <t>AoE</t>
        </is>
      </c>
      <c r="K58" s="6" t="n">
        <v>46451.83263888889</v>
      </c>
      <c r="L58" s="6" t="inlineStr">
        <is>
          <t>2027-03-24</t>
        </is>
      </c>
      <c r="M58" s="2">
        <f>IF(ISNUMBER(H58),IF(H58&gt;'_轮次'!$A$1,"未截止","已截止"),"TBD")</f>
        <v/>
      </c>
      <c r="N58" s="2">
        <f>IF(ISNUMBER(H58),IF(H58&gt;'_轮次'!$A$1,INT(H58-'_轮次'!$A$1),"—"),"—")</f>
        <v/>
      </c>
      <c r="O58" s="7" t="inlineStr">
        <is>
          <t>July 13-17, 2027</t>
        </is>
      </c>
      <c r="P58" s="4" t="inlineStr">
        <is>
          <t>Xiamen, China</t>
        </is>
      </c>
      <c r="Q58" s="2" t="inlineStr">
        <is>
          <t>线下</t>
        </is>
      </c>
      <c r="R58" s="7" t="inlineStr">
        <is>
          <t>必须到场</t>
        </is>
      </c>
      <c r="S58" s="4" t="inlineStr">
        <is>
          <t>待确认</t>
        </is>
      </c>
      <c r="T58" s="2" t="inlineStr">
        <is>
          <t>不限</t>
        </is>
      </c>
      <c r="U58" s="2" t="inlineStr">
        <is>
          <t>—</t>
        </is>
      </c>
      <c r="V58" s="4" t="inlineStr">
        <is>
          <t>无专属条款</t>
        </is>
      </c>
      <c r="W58" s="2" t="inlineStr">
        <is>
          <t>已核实</t>
        </is>
      </c>
      <c r="X58" s="4" t="inlineStr">
        <is>
          <t>—</t>
        </is>
      </c>
      <c r="Y58" s="7" t="inlineStr">
        <is>
          <t>https://2027.ieeeicme.org/</t>
        </is>
      </c>
      <c r="Z58" s="4" t="inlineStr">
        <is>
          <t>核查:CFP未写到场要求与投稿篇数上限</t>
        </is>
      </c>
    </row>
    <row r="59" ht="32" customHeight="1">
      <c r="A59" s="8" t="n">
        <v>58</v>
      </c>
      <c r="B59" s="9" t="inlineStr">
        <is>
          <t>ICMR</t>
        </is>
      </c>
      <c r="C59" s="10" t="inlineStr">
        <is>
          <t>ACM SIGMM International Conference on Multimedia Retrieval</t>
        </is>
      </c>
      <c r="D59" s="10" t="inlineStr">
        <is>
          <t>多媒体检索专会，跨模态检索、索引与评测，规模中等偏应用</t>
        </is>
      </c>
      <c r="E59" s="8" t="inlineStr">
        <is>
          <t>图形学与多媒体</t>
        </is>
      </c>
      <c r="F59" s="13" t="inlineStr">
        <is>
          <t>B</t>
        </is>
      </c>
      <c r="G59" s="11" t="inlineStr">
        <is>
          <t>—</t>
        </is>
      </c>
      <c r="H59" s="11" t="n">
        <v>46419.83263888889</v>
      </c>
      <c r="I59" s="12" t="inlineStr">
        <is>
          <t>单轮</t>
        </is>
      </c>
      <c r="J59" s="8" t="inlineStr">
        <is>
          <t>UTC-12</t>
        </is>
      </c>
      <c r="K59" s="11" t="inlineStr">
        <is>
          <t>—</t>
        </is>
      </c>
      <c r="L59" s="11" t="n">
        <v>46479.83263888889</v>
      </c>
      <c r="M59" s="8">
        <f>IF(ISNUMBER(H59),IF(H59&gt;'_轮次'!$A$1,"未截止","已截止"),"TBD")</f>
        <v/>
      </c>
      <c r="N59" s="8">
        <f>IF(ISNUMBER(H59),IF(H59&gt;'_轮次'!$A$1,INT(H59-'_轮次'!$A$1),"—"),"—")</f>
        <v/>
      </c>
      <c r="O59" s="12" t="inlineStr">
        <is>
          <t>June 7-10, 2027</t>
        </is>
      </c>
      <c r="P59" s="10" t="inlineStr">
        <is>
          <t>Singapore</t>
        </is>
      </c>
      <c r="Q59" s="8" t="inlineStr">
        <is>
          <t>线下</t>
        </is>
      </c>
      <c r="R59" s="12" t="inlineStr">
        <is>
          <t>待确认</t>
        </is>
      </c>
      <c r="S59" s="10" t="inlineStr">
        <is>
          <t>待确认</t>
        </is>
      </c>
      <c r="T59" s="8" t="inlineStr">
        <is>
          <t>不限</t>
        </is>
      </c>
      <c r="U59" s="8" t="inlineStr">
        <is>
          <t>—</t>
        </is>
      </c>
      <c r="V59" s="10" t="inlineStr">
        <is>
          <t>CFP未发布</t>
        </is>
      </c>
      <c r="W59" s="8" t="inlineStr">
        <is>
          <t>2027CFP未发布</t>
        </is>
      </c>
      <c r="X59" s="10" t="inlineStr">
        <is>
          <t>是否到场、新人条款</t>
        </is>
      </c>
      <c r="Y59" s="12" t="inlineStr">
        <is>
          <t>https://www.icmr2027.org/</t>
        </is>
      </c>
      <c r="Z59" s="10" t="inlineStr">
        <is>
          <t>核查:官网仅公布会期，CFP页返回404</t>
        </is>
      </c>
    </row>
    <row r="60" ht="32" customHeight="1">
      <c r="A60" s="2" t="n">
        <v>59</v>
      </c>
      <c r="B60" s="3" t="inlineStr">
        <is>
          <t>InterSpeech</t>
        </is>
      </c>
      <c r="C60" s="4" t="inlineStr">
        <is>
          <t>Conference of the International Speech Communication Association</t>
        </is>
      </c>
      <c r="D60" s="4" t="inlineStr">
        <is>
          <t>语音领域第一大会，语音识别、合成、说话人与情感，年会规模大</t>
        </is>
      </c>
      <c r="E60" s="2" t="inlineStr">
        <is>
          <t>图形学与多媒体</t>
        </is>
      </c>
      <c r="F60" s="13" t="inlineStr">
        <is>
          <t>B</t>
        </is>
      </c>
      <c r="G60" s="6" t="inlineStr">
        <is>
          <t>—</t>
        </is>
      </c>
      <c r="H60" s="6" t="n">
        <v>46428.33263888889</v>
      </c>
      <c r="I60" s="7" t="inlineStr">
        <is>
          <t>单轮</t>
        </is>
      </c>
      <c r="J60" s="2" t="inlineStr">
        <is>
          <t>UTC+0</t>
        </is>
      </c>
      <c r="K60" s="6" t="inlineStr">
        <is>
          <t>—</t>
        </is>
      </c>
      <c r="L60" s="6" t="inlineStr">
        <is>
          <t>2027-06-02</t>
        </is>
      </c>
      <c r="M60" s="2">
        <f>IF(ISNUMBER(H60),IF(H60&gt;'_轮次'!$A$1,"未截止","已截止"),"TBD")</f>
        <v/>
      </c>
      <c r="N60" s="2">
        <f>IF(ISNUMBER(H60),IF(H60&gt;'_轮次'!$A$1,INT(H60-'_轮次'!$A$1),"—"),"—")</f>
        <v/>
      </c>
      <c r="O60" s="7" t="inlineStr">
        <is>
          <t>August 29 - September 2, 2027</t>
        </is>
      </c>
      <c r="P60" s="4" t="inlineStr">
        <is>
          <t>São Paulo, Brazil</t>
        </is>
      </c>
      <c r="Q60" s="2" t="inlineStr">
        <is>
          <t>线下</t>
        </is>
      </c>
      <c r="R60" s="7" t="inlineStr">
        <is>
          <t>必须到场</t>
        </is>
      </c>
      <c r="S60" s="4" t="inlineStr">
        <is>
          <t>待确认</t>
        </is>
      </c>
      <c r="T60" s="2" t="inlineStr">
        <is>
          <t>不限</t>
        </is>
      </c>
      <c r="U60" s="2" t="inlineStr">
        <is>
          <t>—</t>
        </is>
      </c>
      <c r="V60" s="4" t="inlineStr">
        <is>
          <t>硬性｜配额 2 篇（每人一作上限）</t>
        </is>
      </c>
      <c r="W60" s="2" t="inlineStr">
        <is>
          <t>已核实</t>
        </is>
      </c>
      <c r="X60" s="4" t="inlineStr">
        <is>
          <t>—</t>
        </is>
      </c>
      <c r="Y60" s="7" t="inlineStr">
        <is>
          <t>https://interspeech2027.org/</t>
        </is>
      </c>
      <c r="Z60" s="4" t="inlineStr">
        <is>
          <t>ISCA 主办，每年换城市；核查:CFP页未上线，日期取自官网首页</t>
        </is>
      </c>
    </row>
    <row r="61" ht="32" customHeight="1">
      <c r="A61" s="8" t="n">
        <v>60</v>
      </c>
      <c r="B61" s="9" t="inlineStr">
        <is>
          <t>SGP</t>
        </is>
      </c>
      <c r="C61" s="10" t="inlineStr">
        <is>
          <t>Eurographics Symposium on Geometry Processing</t>
        </is>
      </c>
      <c r="D61" s="10" t="inlineStr">
        <is>
          <t>几何处理专会，网格处理、形状分析与几何深度学习，小圈子高质量</t>
        </is>
      </c>
      <c r="E61" s="8" t="inlineStr">
        <is>
          <t>图形学与多媒体</t>
        </is>
      </c>
      <c r="F61" s="13" t="inlineStr">
        <is>
          <t>B</t>
        </is>
      </c>
      <c r="G61" s="11" t="inlineStr">
        <is>
          <t>—</t>
        </is>
      </c>
      <c r="H61" s="11" t="inlineStr">
        <is>
          <t>待公布</t>
        </is>
      </c>
      <c r="I61" s="12" t="inlineStr">
        <is>
          <t>—</t>
        </is>
      </c>
      <c r="J61" s="8" t="inlineStr">
        <is>
          <t>AoE</t>
        </is>
      </c>
      <c r="K61" s="11" t="inlineStr">
        <is>
          <t>—</t>
        </is>
      </c>
      <c r="L61" s="11" t="inlineStr">
        <is>
          <t>待公布</t>
        </is>
      </c>
      <c r="M61" s="8">
        <f>IF(ISNUMBER(H61),IF(H61&gt;'_轮次'!$A$1,"未截止","已截止"),"TBD")</f>
        <v/>
      </c>
      <c r="N61" s="8">
        <f>IF(ISNUMBER(H61),IF(H61&gt;'_轮次'!$A$1,INT(H61-'_轮次'!$A$1),"—"),"—")</f>
        <v/>
      </c>
      <c r="O61" s="12" t="inlineStr">
        <is>
          <t>June 21-25, 2027</t>
        </is>
      </c>
      <c r="P61" s="10" t="inlineStr">
        <is>
          <t>Singapore</t>
        </is>
      </c>
      <c r="Q61" s="8" t="inlineStr">
        <is>
          <t>线下</t>
        </is>
      </c>
      <c r="R61" s="12" t="inlineStr">
        <is>
          <t>待确认</t>
        </is>
      </c>
      <c r="S61" s="10" t="inlineStr">
        <is>
          <t>待确认</t>
        </is>
      </c>
      <c r="T61" s="8" t="inlineStr">
        <is>
          <t>不限</t>
        </is>
      </c>
      <c r="U61" s="8" t="inlineStr">
        <is>
          <t>—</t>
        </is>
      </c>
      <c r="V61" s="10" t="inlineStr">
        <is>
          <t>CFP未发布</t>
        </is>
      </c>
      <c r="W61" s="8" t="inlineStr">
        <is>
          <t>2027CFP未发布</t>
        </is>
      </c>
      <c r="X61" s="10" t="inlineStr">
        <is>
          <t>截稿日、是否到场、新人条款</t>
        </is>
      </c>
      <c r="Y61" s="12" t="inlineStr">
        <is>
          <t>https://igs2027singapore.github.io/</t>
        </is>
      </c>
      <c r="Z61" s="10" t="inlineStr">
        <is>
          <t>与 CGF 期刊轨联动；核查:IGS2027称SGP另设官网，尚未上线</t>
        </is>
      </c>
    </row>
    <row r="62" ht="32" customHeight="1">
      <c r="A62" s="2" t="n">
        <v>61</v>
      </c>
      <c r="B62" s="3" t="inlineStr">
        <is>
          <t>SPM</t>
        </is>
      </c>
      <c r="C62" s="4" t="inlineStr">
        <is>
          <t>Symposium on Solid and Physical Modeling</t>
        </is>
      </c>
      <c r="D62" s="4" t="inlineStr">
        <is>
          <t>实体与物理建模专会，CAD、几何建模与仿真，偏工程与应用数学结合</t>
        </is>
      </c>
      <c r="E62" s="2" t="inlineStr">
        <is>
          <t>图形学与多媒体</t>
        </is>
      </c>
      <c r="F62" s="13" t="inlineStr">
        <is>
          <t>B</t>
        </is>
      </c>
      <c r="G62" s="6" t="inlineStr">
        <is>
          <t>—</t>
        </is>
      </c>
      <c r="H62" s="6" t="inlineStr">
        <is>
          <t>待公布</t>
        </is>
      </c>
      <c r="I62" s="7" t="inlineStr">
        <is>
          <t>—</t>
        </is>
      </c>
      <c r="J62" s="2" t="inlineStr">
        <is>
          <t>AoE</t>
        </is>
      </c>
      <c r="K62" s="6" t="inlineStr">
        <is>
          <t>—</t>
        </is>
      </c>
      <c r="L62" s="6" t="inlineStr">
        <is>
          <t>待公布</t>
        </is>
      </c>
      <c r="M62" s="2">
        <f>IF(ISNUMBER(H62),IF(H62&gt;'_轮次'!$A$1,"未截止","已截止"),"TBD")</f>
        <v/>
      </c>
      <c r="N62" s="2">
        <f>IF(ISNUMBER(H62),IF(H62&gt;'_轮次'!$A$1,INT(H62-'_轮次'!$A$1),"—"),"—")</f>
        <v/>
      </c>
      <c r="O62" s="7" t="inlineStr">
        <is>
          <t>June 21-25, 2027</t>
        </is>
      </c>
      <c r="P62" s="4" t="inlineStr">
        <is>
          <t>Singapore</t>
        </is>
      </c>
      <c r="Q62" s="2" t="inlineStr">
        <is>
          <t>线下</t>
        </is>
      </c>
      <c r="R62" s="7" t="inlineStr">
        <is>
          <t>待确认</t>
        </is>
      </c>
      <c r="S62" s="4" t="inlineStr">
        <is>
          <t>待确认</t>
        </is>
      </c>
      <c r="T62" s="2" t="inlineStr">
        <is>
          <t>不限</t>
        </is>
      </c>
      <c r="U62" s="2" t="inlineStr">
        <is>
          <t>—</t>
        </is>
      </c>
      <c r="V62" s="4" t="inlineStr">
        <is>
          <t>CFP未发布</t>
        </is>
      </c>
      <c r="W62" s="2" t="inlineStr">
        <is>
          <t>2027CFP未发布</t>
        </is>
      </c>
      <c r="X62" s="4" t="inlineStr">
        <is>
          <t>截稿日、是否到场、新人条款</t>
        </is>
      </c>
      <c r="Y62" s="7" t="inlineStr">
        <is>
          <t>https://igs2027singapore.github.io/</t>
        </is>
      </c>
      <c r="Z62" s="4" t="inlineStr">
        <is>
          <t>常与 SMI 等几何会议同期；核查:IGS2027称SPM另设官网，尚未上线</t>
        </is>
      </c>
    </row>
    <row r="63" ht="32" customHeight="1">
      <c r="A63" s="8" t="n">
        <v>62</v>
      </c>
      <c r="B63" s="9" t="inlineStr">
        <is>
          <t>CADE</t>
        </is>
      </c>
      <c r="C63" s="10" t="inlineStr">
        <is>
          <t>The Conference on Automated Deduction</t>
        </is>
      </c>
      <c r="D63" s="10" t="inlineStr">
        <is>
          <t>自动推理老牌会议，定理证明、形式化方法与 SMT，与 ITP 社区高度重合</t>
        </is>
      </c>
      <c r="E63" s="8" t="inlineStr">
        <is>
          <t>计算机科学理论</t>
        </is>
      </c>
      <c r="F63" s="13" t="inlineStr">
        <is>
          <t>B</t>
        </is>
      </c>
      <c r="G63" s="11" t="n">
        <v>46434.83263888889</v>
      </c>
      <c r="H63" s="11" t="n">
        <v>46441.83263888889</v>
      </c>
      <c r="I63" s="12" t="inlineStr">
        <is>
          <t>单轮</t>
        </is>
      </c>
      <c r="J63" s="8" t="inlineStr">
        <is>
          <t>AoE</t>
        </is>
      </c>
      <c r="K63" s="11" t="n">
        <v>46508.83263888889</v>
      </c>
      <c r="L63" s="11" t="inlineStr">
        <is>
          <t>2027-05-17</t>
        </is>
      </c>
      <c r="M63" s="8">
        <f>IF(ISNUMBER(H63),IF(H63&gt;'_轮次'!$A$1,"未截止","已截止"),"TBD")</f>
        <v/>
      </c>
      <c r="N63" s="8">
        <f>IF(ISNUMBER(H63),IF(H63&gt;'_轮次'!$A$1,INT(H63-'_轮次'!$A$1),"—"),"—")</f>
        <v/>
      </c>
      <c r="O63" s="12" t="inlineStr">
        <is>
          <t>August 22-25, 2027</t>
        </is>
      </c>
      <c r="P63" s="10" t="inlineStr">
        <is>
          <t>Nijmegen, Netherlands</t>
        </is>
      </c>
      <c r="Q63" s="8" t="inlineStr">
        <is>
          <t>线下</t>
        </is>
      </c>
      <c r="R63" s="12" t="inlineStr">
        <is>
          <t>待确认</t>
        </is>
      </c>
      <c r="S63" s="10" t="inlineStr">
        <is>
          <t>待确认</t>
        </is>
      </c>
      <c r="T63" s="8" t="inlineStr">
        <is>
          <t>不限</t>
        </is>
      </c>
      <c r="U63" s="8" t="inlineStr">
        <is>
          <t>—</t>
        </is>
      </c>
      <c r="V63" s="10" t="inlineStr">
        <is>
          <t>利好｜通道 最佳学生论文奖</t>
        </is>
      </c>
      <c r="W63" s="8" t="inlineStr">
        <is>
          <t>已核实</t>
        </is>
      </c>
      <c r="X63" s="10" t="inlineStr">
        <is>
          <t>是否到场</t>
        </is>
      </c>
      <c r="Y63" s="12" t="inlineStr">
        <is>
          <t>https://fscd-cade.science.ru.nl/</t>
        </is>
      </c>
      <c r="Z63" s="10" t="inlineStr">
        <is>
          <t>Springer LNCS 出版；核查:首页时间线2/14、2/21，CFP页为2/15、2/22</t>
        </is>
      </c>
    </row>
    <row r="64" ht="32" customHeight="1">
      <c r="A64" s="2" t="n">
        <v>63</v>
      </c>
      <c r="B64" s="3" t="inlineStr">
        <is>
          <t>CCC</t>
        </is>
      </c>
      <c r="C64" s="4" t="inlineStr">
        <is>
          <t>Computational Complexity Conference</t>
        </is>
      </c>
      <c r="D64" s="4" t="inlineStr">
        <is>
          <t>计算复杂性理论专会，电路下界、证明复杂性与伪随机，纯理论小规模</t>
        </is>
      </c>
      <c r="E64" s="2" t="inlineStr">
        <is>
          <t>计算机科学理论</t>
        </is>
      </c>
      <c r="F64" s="13" t="inlineStr">
        <is>
          <t>B</t>
        </is>
      </c>
      <c r="G64" s="6" t="inlineStr">
        <is>
          <t>—</t>
        </is>
      </c>
      <c r="H64" s="6" t="inlineStr">
        <is>
          <t>待公布</t>
        </is>
      </c>
      <c r="I64" s="7" t="inlineStr">
        <is>
          <t>—</t>
        </is>
      </c>
      <c r="J64" s="2" t="inlineStr">
        <is>
          <t>AoE</t>
        </is>
      </c>
      <c r="K64" s="6" t="inlineStr">
        <is>
          <t>—</t>
        </is>
      </c>
      <c r="L64" s="6" t="inlineStr">
        <is>
          <t>待公布</t>
        </is>
      </c>
      <c r="M64" s="2">
        <f>IF(ISNUMBER(H64),IF(H64&gt;'_轮次'!$A$1,"未截止","已截止"),"TBD")</f>
        <v/>
      </c>
      <c r="N64" s="2">
        <f>IF(ISNUMBER(H64),IF(H64&gt;'_轮次'!$A$1,INT(H64-'_轮次'!$A$1),"—"),"—")</f>
        <v/>
      </c>
      <c r="O64" s="7" t="inlineStr">
        <is>
          <t>July 19-22, 2027</t>
        </is>
      </c>
      <c r="P64" s="4" t="inlineStr">
        <is>
          <t>Seattle, Washington, USA</t>
        </is>
      </c>
      <c r="Q64" s="2" t="inlineStr">
        <is>
          <t>线下</t>
        </is>
      </c>
      <c r="R64" s="7" t="inlineStr">
        <is>
          <t>待确认</t>
        </is>
      </c>
      <c r="S64" s="4" t="inlineStr">
        <is>
          <t>待确认</t>
        </is>
      </c>
      <c r="T64" s="2" t="inlineStr">
        <is>
          <t>不限</t>
        </is>
      </c>
      <c r="U64" s="2" t="inlineStr">
        <is>
          <t>—</t>
        </is>
      </c>
      <c r="V64" s="4" t="inlineStr">
        <is>
          <t>CFP未发布</t>
        </is>
      </c>
      <c r="W64" s="2" t="inlineStr">
        <is>
          <t>2027CFP未发布</t>
        </is>
      </c>
      <c r="X64" s="4" t="inlineStr">
        <is>
          <t>截稿日、是否到场、新人条款</t>
        </is>
      </c>
      <c r="Y64" s="7" t="inlineStr">
        <is>
          <t>https://computationalcomplexity.org/</t>
        </is>
      </c>
      <c r="Z64" s="4" t="inlineStr">
        <is>
          <t>单轨，无 workshop；核查:仅公布会期地点，2027届CFP未发布</t>
        </is>
      </c>
    </row>
    <row r="65" ht="32" customHeight="1">
      <c r="A65" s="8" t="n">
        <v>64</v>
      </c>
      <c r="B65" s="9" t="inlineStr">
        <is>
          <t>HSCC</t>
        </is>
      </c>
      <c r="C65" s="10" t="inlineStr">
        <is>
          <t>International Conference on Hybrid Systems: Computation and Control</t>
        </is>
      </c>
      <c r="D65" s="10" t="inlineStr">
        <is>
          <t>混合系统与控制交叉会，形式化验证、信息物理系统，与 CPS 社区重合</t>
        </is>
      </c>
      <c r="E65" s="8" t="inlineStr">
        <is>
          <t>计算机科学理论</t>
        </is>
      </c>
      <c r="F65" s="13" t="inlineStr">
        <is>
          <t>B</t>
        </is>
      </c>
      <c r="G65" s="11" t="n">
        <v>46325.83263888889</v>
      </c>
      <c r="H65" s="11" t="n">
        <v>46332.83263888889</v>
      </c>
      <c r="I65" s="12" t="inlineStr">
        <is>
          <t>单轮</t>
        </is>
      </c>
      <c r="J65" s="8" t="inlineStr">
        <is>
          <t>AoE</t>
        </is>
      </c>
      <c r="K65" s="11" t="n">
        <v>46403.83263888889</v>
      </c>
      <c r="L65" s="11" t="inlineStr">
        <is>
          <t>2027-01-28</t>
        </is>
      </c>
      <c r="M65" s="8">
        <f>IF(ISNUMBER(H65),IF(H65&gt;'_轮次'!$A$1,"未截止","已截止"),"TBD")</f>
        <v/>
      </c>
      <c r="N65" s="8">
        <f>IF(ISNUMBER(H65),IF(H65&gt;'_轮次'!$A$1,INT(H65-'_轮次'!$A$1),"—"),"—")</f>
        <v/>
      </c>
      <c r="O65" s="12" t="inlineStr">
        <is>
          <t>May 17-20, 2027</t>
        </is>
      </c>
      <c r="P65" s="10" t="inlineStr">
        <is>
          <t>Boulder, Colorado, USA</t>
        </is>
      </c>
      <c r="Q65" s="8" t="inlineStr">
        <is>
          <t>线下</t>
        </is>
      </c>
      <c r="R65" s="12" t="inlineStr">
        <is>
          <t>待确认</t>
        </is>
      </c>
      <c r="S65" s="10" t="inlineStr">
        <is>
          <t>待确认</t>
        </is>
      </c>
      <c r="T65" s="8" t="inlineStr">
        <is>
          <t>不限</t>
        </is>
      </c>
      <c r="U65" s="8" t="inlineStr">
        <is>
          <t>—</t>
        </is>
      </c>
      <c r="V65" s="10" t="inlineStr">
        <is>
          <t>未找到</t>
        </is>
      </c>
      <c r="W65" s="8" t="inlineStr">
        <is>
          <t>已核实</t>
        </is>
      </c>
      <c r="X65" s="10" t="inlineStr">
        <is>
          <t>是否到场、新人条款</t>
        </is>
      </c>
      <c r="Y65" s="12" t="inlineStr">
        <is>
          <t>https://hscc.acm.org/2027/</t>
        </is>
      </c>
      <c r="Z65" s="10" t="inlineStr">
        <is>
          <t>常与 ICCPS 等合办 CPS-IoT Week；核查:2027与ICCPS合并为HSCC+ICCPS'27，未提参会形式；重查:Authors 页未写到场与新人条款；artifact evaluation 自愿参加</t>
        </is>
      </c>
    </row>
    <row r="66" ht="32" customHeight="1">
      <c r="A66" s="2" t="n">
        <v>65</v>
      </c>
      <c r="B66" s="3" t="inlineStr">
        <is>
          <t>ICALP</t>
        </is>
      </c>
      <c r="C66" s="4" t="inlineStr">
        <is>
          <t>EATCS International Colloquium on Automata, Languages, and Programming</t>
        </is>
      </c>
      <c r="D66" s="4" t="inlineStr">
        <is>
          <t>理论计算机科学欧洲旗舰，算法、复杂度、自动机与逻辑，LIPIcs 开放出版</t>
        </is>
      </c>
      <c r="E66" s="2" t="inlineStr">
        <is>
          <t>计算机科学理论</t>
        </is>
      </c>
      <c r="F66" s="13" t="inlineStr">
        <is>
          <t>B</t>
        </is>
      </c>
      <c r="G66" s="6" t="inlineStr">
        <is>
          <t>—</t>
        </is>
      </c>
      <c r="H66" s="6" t="n">
        <v>46281.83263888889</v>
      </c>
      <c r="I66" s="7" t="inlineStr">
        <is>
          <t>Track B first round; Track A and Track B second round TBA</t>
        </is>
      </c>
      <c r="J66" s="2" t="inlineStr">
        <is>
          <t>AoE</t>
        </is>
      </c>
      <c r="K66" s="6" t="n">
        <v>46336.83263888889</v>
      </c>
      <c r="L66" s="6" t="n">
        <v>46365.83263888889</v>
      </c>
      <c r="M66" s="2">
        <f>IF(ISNUMBER(H66),IF(H66&gt;'_轮次'!$A$1,"未截止","已截止"),"TBD")</f>
        <v/>
      </c>
      <c r="N66" s="2">
        <f>IF(ISNUMBER(H66),IF(H66&gt;'_轮次'!$A$1,INT(H66-'_轮次'!$A$1),"—"),"—")</f>
        <v/>
      </c>
      <c r="O66" s="7" t="inlineStr">
        <is>
          <t>July 5-9, 2027</t>
        </is>
      </c>
      <c r="P66" s="4" t="inlineStr">
        <is>
          <t>Kraków, Poland</t>
        </is>
      </c>
      <c r="Q66" s="2" t="inlineStr">
        <is>
          <t>线下</t>
        </is>
      </c>
      <c r="R66" s="7" t="inlineStr">
        <is>
          <t>待确认</t>
        </is>
      </c>
      <c r="S66" s="4" t="inlineStr">
        <is>
          <t>待确认</t>
        </is>
      </c>
      <c r="T66" s="2" t="inlineStr">
        <is>
          <t>不限</t>
        </is>
      </c>
      <c r="U66" s="2" t="inlineStr">
        <is>
          <t>—</t>
        </is>
      </c>
      <c r="V66" s="4" t="inlineStr">
        <is>
          <t>CFP未发布</t>
        </is>
      </c>
      <c r="W66" s="2" t="inlineStr">
        <is>
          <t>2027CFP未发布</t>
        </is>
      </c>
      <c r="X66" s="4" t="inlineStr">
        <is>
          <t>是否到场、新人条款</t>
        </is>
      </c>
      <c r="Y66" s="7" t="inlineStr">
        <is>
          <t>https://icalp.uj.edu.pl/</t>
        </is>
      </c>
      <c r="Z66" s="4" t="inlineStr">
        <is>
          <t>分 Track A/B，LIPIcs 免费开放获取；核查:官网仅公布会期2027-07-05至09及举办地</t>
        </is>
      </c>
    </row>
    <row r="67" ht="32" customHeight="1">
      <c r="A67" s="8" t="n">
        <v>66</v>
      </c>
      <c r="B67" s="9" t="inlineStr">
        <is>
          <t>SOCG</t>
        </is>
      </c>
      <c r="C67" s="10" t="inlineStr">
        <is>
          <t>International Symposium on Computational Geometry</t>
        </is>
      </c>
      <c r="D67" s="10" t="inlineStr">
        <is>
          <t>计算几何专会，几何算法、拓扑与组合几何，常与 ICALP 等联合举办</t>
        </is>
      </c>
      <c r="E67" s="8" t="inlineStr">
        <is>
          <t>计算机科学理论</t>
        </is>
      </c>
      <c r="F67" s="13" t="inlineStr">
        <is>
          <t>B</t>
        </is>
      </c>
      <c r="G67" s="11" t="inlineStr">
        <is>
          <t>—</t>
        </is>
      </c>
      <c r="H67" s="11" t="inlineStr">
        <is>
          <t>待公布</t>
        </is>
      </c>
      <c r="I67" s="12" t="inlineStr">
        <is>
          <t>—</t>
        </is>
      </c>
      <c r="J67" s="8" t="inlineStr">
        <is>
          <t>AoE</t>
        </is>
      </c>
      <c r="K67" s="11" t="inlineStr">
        <is>
          <t>—</t>
        </is>
      </c>
      <c r="L67" s="11" t="inlineStr">
        <is>
          <t>待公布</t>
        </is>
      </c>
      <c r="M67" s="8">
        <f>IF(ISNUMBER(H67),IF(H67&gt;'_轮次'!$A$1,"未截止","已截止"),"TBD")</f>
        <v/>
      </c>
      <c r="N67" s="8">
        <f>IF(ISNUMBER(H67),IF(H67&gt;'_轮次'!$A$1,INT(H67-'_轮次'!$A$1),"—"),"—")</f>
        <v/>
      </c>
      <c r="O67" s="12" t="inlineStr">
        <is>
          <t>June 21-25, 2027</t>
        </is>
      </c>
      <c r="P67" s="10" t="inlineStr">
        <is>
          <t>Bengaluru, India</t>
        </is>
      </c>
      <c r="Q67" s="8" t="inlineStr">
        <is>
          <t>线下</t>
        </is>
      </c>
      <c r="R67" s="12" t="inlineStr">
        <is>
          <t>待确认</t>
        </is>
      </c>
      <c r="S67" s="10" t="inlineStr">
        <is>
          <t>待确认</t>
        </is>
      </c>
      <c r="T67" s="8" t="inlineStr">
        <is>
          <t>不限</t>
        </is>
      </c>
      <c r="U67" s="8" t="inlineStr">
        <is>
          <t>—</t>
        </is>
      </c>
      <c r="V67" s="10" t="inlineStr">
        <is>
          <t>CFP未发布</t>
        </is>
      </c>
      <c r="W67" s="8" t="inlineStr">
        <is>
          <t>2027CFP未发布</t>
        </is>
      </c>
      <c r="X67" s="10" t="inlineStr">
        <is>
          <t>截稿日、是否到场、新人条款</t>
        </is>
      </c>
      <c r="Y67" s="12" t="inlineStr">
        <is>
          <t>https://cgweek27.computational-geometry.org/</t>
        </is>
      </c>
      <c r="Z67" s="10" t="inlineStr">
        <is>
          <t>LIPIcs 出版；核查:CG Week 2027会期6/21-25，CFP页404；须CG Society会员</t>
        </is>
      </c>
    </row>
    <row r="68" ht="32" customHeight="1">
      <c r="A68" s="2" t="n">
        <v>67</v>
      </c>
      <c r="B68" s="3" t="inlineStr">
        <is>
          <t>CIDR</t>
        </is>
      </c>
      <c r="C68" s="4" t="inlineStr">
        <is>
          <t>International Conference on Innovative Data Systems Research</t>
        </is>
      </c>
      <c r="D68" s="4" t="inlineStr">
        <is>
          <t>创新数据系统研究，系统与架构新想法优先，单轮评审、偏工业界</t>
        </is>
      </c>
      <c r="E68" s="2" t="inlineStr">
        <is>
          <t>数据库/数据挖掘</t>
        </is>
      </c>
      <c r="F68" s="13" t="inlineStr">
        <is>
          <t>B</t>
        </is>
      </c>
      <c r="G68" s="6" t="inlineStr">
        <is>
          <t>—</t>
        </is>
      </c>
      <c r="H68" s="6" t="n">
        <v>46239.62430555555</v>
      </c>
      <c r="I68" s="7" t="inlineStr">
        <is>
          <t>单轮</t>
        </is>
      </c>
      <c r="J68" s="2" t="inlineStr">
        <is>
          <t>UTC-7</t>
        </is>
      </c>
      <c r="K68" s="6" t="inlineStr">
        <is>
          <t>—</t>
        </is>
      </c>
      <c r="L68" s="6" t="n">
        <v>46302.62430555555</v>
      </c>
      <c r="M68" s="2">
        <f>IF(ISNUMBER(H68),IF(H68&gt;'_轮次'!$A$1,"未截止","已截止"),"TBD")</f>
        <v/>
      </c>
      <c r="N68" s="2">
        <f>IF(ISNUMBER(H68),IF(H68&gt;'_轮次'!$A$1,INT(H68-'_轮次'!$A$1),"—"),"—")</f>
        <v/>
      </c>
      <c r="O68" s="7" t="inlineStr">
        <is>
          <t>January 24-27, 2027</t>
        </is>
      </c>
      <c r="P68" s="4" t="inlineStr">
        <is>
          <t>Amsterdam, The Netherlands</t>
        </is>
      </c>
      <c r="Q68" s="2" t="inlineStr">
        <is>
          <t>线下</t>
        </is>
      </c>
      <c r="R68" s="7" t="inlineStr">
        <is>
          <t>待确认</t>
        </is>
      </c>
      <c r="S68" s="4" t="inlineStr">
        <is>
          <t>待确认</t>
        </is>
      </c>
      <c r="T68" s="2" t="n">
        <v>1</v>
      </c>
      <c r="U68" s="2" t="inlineStr">
        <is>
          <t>每届</t>
        </is>
      </c>
      <c r="V68" s="4" t="inlineStr">
        <is>
          <t>硬性｜配额 1 篇（每位作者上限）</t>
        </is>
      </c>
      <c r="W68" s="2" t="inlineStr">
        <is>
          <t>已核实</t>
        </is>
      </c>
      <c r="X68" s="4" t="inlineStr">
        <is>
          <t>是否到场</t>
        </is>
      </c>
      <c r="Y68" s="7" t="inlineStr">
        <is>
          <t>https://www.cidrdb.org/cidr2027/</t>
        </is>
      </c>
      <c r="Z68" s="4" t="inlineStr">
        <is>
          <t>无正式 proceedings，单轮评审、重讨论；核查:官网写明每作者限投1篇，但未列任何截止日期</t>
        </is>
      </c>
    </row>
    <row r="69" ht="32" customHeight="1">
      <c r="A69" s="8" t="n">
        <v>68</v>
      </c>
      <c r="B69" s="9" t="inlineStr">
        <is>
          <t>DASFAA</t>
        </is>
      </c>
      <c r="C69" s="10" t="inlineStr">
        <is>
          <t>Database Systems for Advanced Applications</t>
        </is>
      </c>
      <c r="D69" s="10" t="inlineStr">
        <is>
          <t>亚太数据库旗舰会，数据管理、挖掘与查询优化，Springer LNCS 出版</t>
        </is>
      </c>
      <c r="E69" s="8" t="inlineStr">
        <is>
          <t>数据库/数据挖掘</t>
        </is>
      </c>
      <c r="F69" s="13" t="inlineStr">
        <is>
          <t>B</t>
        </is>
      </c>
      <c r="G69" s="11" t="inlineStr">
        <is>
          <t>—</t>
        </is>
      </c>
      <c r="H69" s="11" t="n">
        <v>46352.83263888889</v>
      </c>
      <c r="I69" s="12" t="inlineStr">
        <is>
          <t>Research papers</t>
        </is>
      </c>
      <c r="J69" s="8" t="inlineStr">
        <is>
          <t>AoE</t>
        </is>
      </c>
      <c r="K69" s="11" t="inlineStr">
        <is>
          <t>—</t>
        </is>
      </c>
      <c r="L69" s="11" t="inlineStr">
        <is>
          <t>2027-01-25</t>
        </is>
      </c>
      <c r="M69" s="8">
        <f>IF(ISNUMBER(H69),IF(H69&gt;'_轮次'!$A$1,"未截止","已截止"),"TBD")</f>
        <v/>
      </c>
      <c r="N69" s="8">
        <f>IF(ISNUMBER(H69),IF(H69&gt;'_轮次'!$A$1,INT(H69-'_轮次'!$A$1),"—"),"—")</f>
        <v/>
      </c>
      <c r="O69" s="12" t="inlineStr">
        <is>
          <t>May 27-30, 2027</t>
        </is>
      </c>
      <c r="P69" s="10" t="inlineStr">
        <is>
          <t>Shenyang, China</t>
        </is>
      </c>
      <c r="Q69" s="8" t="inlineStr">
        <is>
          <t>线下</t>
        </is>
      </c>
      <c r="R69" s="12" t="inlineStr">
        <is>
          <t>待确认</t>
        </is>
      </c>
      <c r="S69" s="10" t="inlineStr">
        <is>
          <t>待确认</t>
        </is>
      </c>
      <c r="T69" s="8" t="inlineStr">
        <is>
          <t>不限</t>
        </is>
      </c>
      <c r="U69" s="8" t="inlineStr">
        <is>
          <t>—</t>
        </is>
      </c>
      <c r="V69" s="10" t="inlineStr">
        <is>
          <t>利好｜通道 Ph.D. Forum, Teen Research Track</t>
        </is>
      </c>
      <c r="W69" s="8" t="inlineStr">
        <is>
          <t>已核实</t>
        </is>
      </c>
      <c r="X69" s="10" t="inlineStr">
        <is>
          <t>是否到场</t>
        </is>
      </c>
      <c r="Y69" s="12" t="inlineStr">
        <is>
          <t>https://dasfaa2027.github.io/</t>
        </is>
      </c>
      <c r="Z69" s="10" t="inlineStr">
        <is>
          <t>核查:研究/工业track，AoE23:59；Demo稿12-10截</t>
        </is>
      </c>
    </row>
    <row r="70" ht="32" customHeight="1">
      <c r="A70" s="2" t="n">
        <v>69</v>
      </c>
      <c r="B70" s="3" t="inlineStr">
        <is>
          <t>ECML-PKDD</t>
        </is>
      </c>
      <c r="C70" s="4" t="inlineStr">
        <is>
          <t>European Conference on Machine Learning and 25th Principles and Practice of Knowledge Discovery in Databases</t>
        </is>
      </c>
      <c r="D70" s="4" t="inlineStr">
        <is>
          <t>欧洲机器学习与数据挖掘主会，方法与应用并重，设工业与应用 track</t>
        </is>
      </c>
      <c r="E70" s="2" t="inlineStr">
        <is>
          <t>数据库/数据挖掘</t>
        </is>
      </c>
      <c r="F70" s="13" t="inlineStr">
        <is>
          <t>B</t>
        </is>
      </c>
      <c r="G70" s="6" t="inlineStr">
        <is>
          <t>—</t>
        </is>
      </c>
      <c r="H70" s="6" t="inlineStr">
        <is>
          <t>待公布</t>
        </is>
      </c>
      <c r="I70" s="7" t="inlineStr">
        <is>
          <t>—</t>
        </is>
      </c>
      <c r="J70" s="2" t="inlineStr">
        <is>
          <t>AoE</t>
        </is>
      </c>
      <c r="K70" s="6" t="inlineStr">
        <is>
          <t>—</t>
        </is>
      </c>
      <c r="L70" s="6" t="inlineStr">
        <is>
          <t>待公布</t>
        </is>
      </c>
      <c r="M70" s="2">
        <f>IF(ISNUMBER(H70),IF(H70&gt;'_轮次'!$A$1,"未截止","已截止"),"TBD")</f>
        <v/>
      </c>
      <c r="N70" s="2">
        <f>IF(ISNUMBER(H70),IF(H70&gt;'_轮次'!$A$1,INT(H70-'_轮次'!$A$1),"—"),"—")</f>
        <v/>
      </c>
      <c r="O70" s="7" t="inlineStr">
        <is>
          <t>September 20-24, 2027</t>
        </is>
      </c>
      <c r="P70" s="4" t="inlineStr">
        <is>
          <t>Eindhoven, The Netherlands</t>
        </is>
      </c>
      <c r="Q70" s="2" t="inlineStr">
        <is>
          <t>线下</t>
        </is>
      </c>
      <c r="R70" s="7" t="inlineStr">
        <is>
          <t>待确认</t>
        </is>
      </c>
      <c r="S70" s="4" t="inlineStr">
        <is>
          <t>待确认</t>
        </is>
      </c>
      <c r="T70" s="2" t="inlineStr">
        <is>
          <t>不限</t>
        </is>
      </c>
      <c r="U70" s="2" t="inlineStr">
        <is>
          <t>—</t>
        </is>
      </c>
      <c r="V70" s="4" t="inlineStr">
        <is>
          <t>CFP未发布</t>
        </is>
      </c>
      <c r="W70" s="2" t="inlineStr">
        <is>
          <t>2027CFP未发布</t>
        </is>
      </c>
      <c r="X70" s="4" t="inlineStr">
        <is>
          <t>截稿日、是否到场、新人条款</t>
        </is>
      </c>
      <c r="Y70" s="7" t="inlineStr">
        <is>
          <t>https://ecmlpkdd.org/2027/</t>
        </is>
      </c>
      <c r="Z70" s="4" t="inlineStr">
        <is>
          <t>Springer LNCS 格式；核查:官网仅标题页，会期2027-08-30至09-03</t>
        </is>
      </c>
    </row>
    <row r="71" ht="32" customHeight="1">
      <c r="A71" s="8" t="n">
        <v>70</v>
      </c>
      <c r="B71" s="9" t="inlineStr">
        <is>
          <t>EDBT</t>
        </is>
      </c>
      <c r="C71" s="10" t="inlineStr">
        <is>
          <t>International Conference on Extending Database Technology</t>
        </is>
      </c>
      <c r="D71" s="10" t="inlineStr">
        <is>
          <t>数据库系统与查询处理老牌会议，偏系统实现与工程验证，与 ICDT 联办</t>
        </is>
      </c>
      <c r="E71" s="8" t="inlineStr">
        <is>
          <t>数据库/数据挖掘</t>
        </is>
      </c>
      <c r="F71" s="13" t="inlineStr">
        <is>
          <t>B</t>
        </is>
      </c>
      <c r="G71" s="11">
        <f>IF(ISNUMBER(H71),IF(N(INDEX('_轮次'!$N$71:$Y$71,MATCH(H71,'_轮次'!$B$71:$M$71,0)))=0,"—",INDEX('_轮次'!$N$71:$Y$71,MATCH(H71,'_轮次'!$B$71:$M$71,0))),"—")</f>
        <v/>
      </c>
      <c r="H71" s="11">
        <f>IF(COUNT('_轮次'!$B$71:$M$71)=0,"待公布",IF(COUNTIF('_轮次'!$B$71:$M$71,"&gt;"&amp;'_轮次'!$A$1)&gt;0,SMALL('_轮次'!$B$71:$M$71,COUNTIF('_轮次'!$B$71:$M$71,"&lt;="&amp;'_轮次'!$A$1)+1),MAX('_轮次'!$B$71:$M$71)))</f>
        <v/>
      </c>
      <c r="I71" s="12">
        <f>IF(ISNUMBER(H71),INDEX('_轮次'!$AX$71:$BI$71,MATCH(H71,'_轮次'!$B$71:$M$71,0)),"—")</f>
        <v/>
      </c>
      <c r="J71" s="8" t="inlineStr">
        <is>
          <t>AoE</t>
        </is>
      </c>
      <c r="K71" s="11">
        <f>IF(ISNUMBER(H71),IF(N(INDEX('_轮次'!$Z$71:$AK$71,MATCH(H71,'_轮次'!$B$71:$M$71,0)))=0,"—",INDEX('_轮次'!$Z$71:$AK$71,MATCH(H71,'_轮次'!$B$71:$M$71,0))),"—")</f>
        <v/>
      </c>
      <c r="L71" s="11">
        <f>IF(ISNUMBER(H71),IF(N(INDEX('_轮次'!$AL$71:$AW$71,MATCH(H71,'_轮次'!$B$71:$M$71,0)))=0,"—",INDEX('_轮次'!$AL$71:$AW$71,MATCH(H71,'_轮次'!$B$71:$M$71,0))),"—")</f>
        <v/>
      </c>
      <c r="M71" s="8">
        <f>IF(ISNUMBER(H71),IF(H71&gt;'_轮次'!$A$1,"未截止","已截止"),"TBD")</f>
        <v/>
      </c>
      <c r="N71" s="8">
        <f>IF(ISNUMBER(H71),IF(H71&gt;'_轮次'!$A$1,INT(H71-'_轮次'!$A$1),"—"),"—")</f>
        <v/>
      </c>
      <c r="O71" s="12" t="inlineStr">
        <is>
          <t>April 6-9, 2027</t>
        </is>
      </c>
      <c r="P71" s="10" t="inlineStr">
        <is>
          <t>Lille, France</t>
        </is>
      </c>
      <c r="Q71" s="8" t="inlineStr">
        <is>
          <t>线下</t>
        </is>
      </c>
      <c r="R71" s="12" t="inlineStr">
        <is>
          <t>待确认</t>
        </is>
      </c>
      <c r="S71" s="10" t="inlineStr">
        <is>
          <t>待确认</t>
        </is>
      </c>
      <c r="T71" s="8" t="inlineStr">
        <is>
          <t>不限</t>
        </is>
      </c>
      <c r="U71" s="8" t="inlineStr">
        <is>
          <t>—</t>
        </is>
      </c>
      <c r="V71" s="10" t="inlineStr">
        <is>
          <t>CFP未发布</t>
        </is>
      </c>
      <c r="W71" s="8" t="inlineStr">
        <is>
          <t>2027CFP未发布</t>
        </is>
      </c>
      <c r="X71" s="10" t="inlineStr">
        <is>
          <t>是否到场、新人条款</t>
        </is>
      </c>
      <c r="Y71" s="12" t="inlineStr">
        <is>
          <t>https://edbticdt2027.github.io/</t>
        </is>
      </c>
      <c r="Z71" s="10" t="inlineStr">
        <is>
          <t>与 ICDT 同期同地举办；核查:仅占位首页，会期2027-04-06至09，无CFP；全部轮次 Official February cutoff is 17:00 PST (UTC-8), represented as the equivalent 13:00 AoE.:2026-02-05 / 轮:2026-06-11 / 轮:2026-10-08</t>
        </is>
      </c>
    </row>
    <row r="72" ht="32" customHeight="1">
      <c r="A72" s="2" t="n">
        <v>71</v>
      </c>
      <c r="B72" s="3" t="inlineStr">
        <is>
          <t>ICDM</t>
        </is>
      </c>
      <c r="C72" s="4" t="inlineStr">
        <is>
          <t>IEEE International Conference on Data Mining</t>
        </is>
      </c>
      <c r="D72" s="4" t="inlineStr">
        <is>
          <t>数据挖掘核心会议，图挖掘、时序、异常检测与大数据应用并重</t>
        </is>
      </c>
      <c r="E72" s="2" t="inlineStr">
        <is>
          <t>数据库/数据挖掘</t>
        </is>
      </c>
      <c r="F72" s="13" t="inlineStr">
        <is>
          <t>B</t>
        </is>
      </c>
      <c r="G72" s="6" t="inlineStr">
        <is>
          <t>—</t>
        </is>
      </c>
      <c r="H72" s="6" t="n">
        <v>46545.83263888889</v>
      </c>
      <c r="I72" s="7" t="inlineStr">
        <is>
          <t>Full papers; dates are tentative and subject to change</t>
        </is>
      </c>
      <c r="J72" s="2" t="inlineStr">
        <is>
          <t>AoE</t>
        </is>
      </c>
      <c r="K72" s="6" t="inlineStr">
        <is>
          <t>—</t>
        </is>
      </c>
      <c r="L72" s="6" t="inlineStr">
        <is>
          <t>2027-08-16</t>
        </is>
      </c>
      <c r="M72" s="2">
        <f>IF(ISNUMBER(H72),IF(H72&gt;'_轮次'!$A$1,"未截止","已截止"),"TBD")</f>
        <v/>
      </c>
      <c r="N72" s="2">
        <f>IF(ISNUMBER(H72),IF(H72&gt;'_轮次'!$A$1,INT(H72-'_轮次'!$A$1),"—"),"—")</f>
        <v/>
      </c>
      <c r="O72" s="7" t="inlineStr">
        <is>
          <t>November 15-18, 2027</t>
        </is>
      </c>
      <c r="P72" s="4" t="inlineStr">
        <is>
          <t>Brisbane, Australia</t>
        </is>
      </c>
      <c r="Q72" s="2" t="inlineStr">
        <is>
          <t>线下</t>
        </is>
      </c>
      <c r="R72" s="7" t="inlineStr">
        <is>
          <t>待确认</t>
        </is>
      </c>
      <c r="S72" s="4" t="inlineStr">
        <is>
          <t>待确认</t>
        </is>
      </c>
      <c r="T72" s="2" t="inlineStr">
        <is>
          <t>不限</t>
        </is>
      </c>
      <c r="U72" s="2" t="inlineStr">
        <is>
          <t>—</t>
        </is>
      </c>
      <c r="V72" s="4" t="inlineStr">
        <is>
          <t>未找到</t>
        </is>
      </c>
      <c r="W72" s="2" t="inlineStr">
        <is>
          <t>已核实</t>
        </is>
      </c>
      <c r="X72" s="4" t="inlineStr">
        <is>
          <t>是否到场、新人条款</t>
        </is>
      </c>
      <c r="Y72" s="7" t="inlineStr">
        <is>
          <t>https://icdm2027-website.onrender.com/</t>
        </is>
      </c>
      <c r="Z72" s="4" t="inlineStr">
        <is>
          <t>IEEE 主办，另有短论文与 demo track；核查:日期页已公布，CFP正文标注coming soon</t>
        </is>
      </c>
    </row>
    <row r="73" ht="32" customHeight="1">
      <c r="A73" s="8" t="n">
        <v>72</v>
      </c>
      <c r="B73" s="9" t="inlineStr">
        <is>
          <t>ICDT</t>
        </is>
      </c>
      <c r="C73" s="10" t="inlineStr">
        <is>
          <t>International Conference on Database Theory</t>
        </is>
      </c>
      <c r="D73" s="10" t="inlineStr">
        <is>
          <t>数据库理论专会，查询复杂度、逻辑与数据模型基础研究</t>
        </is>
      </c>
      <c r="E73" s="8" t="inlineStr">
        <is>
          <t>数据库/数据挖掘</t>
        </is>
      </c>
      <c r="F73" s="13" t="inlineStr">
        <is>
          <t>B</t>
        </is>
      </c>
      <c r="G73" s="11">
        <f>IF(ISNUMBER(H73),IF(N(INDEX('_轮次'!$N$73:$Y$73,MATCH(H73,'_轮次'!$B$73:$M$73,0)))=0,"—",INDEX('_轮次'!$N$73:$Y$73,MATCH(H73,'_轮次'!$B$73:$M$73,0))),"—")</f>
        <v/>
      </c>
      <c r="H73" s="11">
        <f>IF(COUNT('_轮次'!$B$73:$M$73)=0,"待公布",IF(COUNTIF('_轮次'!$B$73:$M$73,"&gt;"&amp;'_轮次'!$A$1)&gt;0,SMALL('_轮次'!$B$73:$M$73,COUNTIF('_轮次'!$B$73:$M$73,"&lt;="&amp;'_轮次'!$A$1)+1),MAX('_轮次'!$B$73:$M$73)))</f>
        <v/>
      </c>
      <c r="I73" s="12">
        <f>IF(ISNUMBER(H73),INDEX('_轮次'!$AX$73:$BI$73,MATCH(H73,'_轮次'!$B$73:$M$73,0)),"—")</f>
        <v/>
      </c>
      <c r="J73" s="8" t="inlineStr">
        <is>
          <t>AoE</t>
        </is>
      </c>
      <c r="K73" s="11">
        <f>IF(ISNUMBER(H73),IF(N(INDEX('_轮次'!$Z$73:$AK$73,MATCH(H73,'_轮次'!$B$73:$M$73,0)))=0,"—",INDEX('_轮次'!$Z$73:$AK$73,MATCH(H73,'_轮次'!$B$73:$M$73,0))),"—")</f>
        <v/>
      </c>
      <c r="L73" s="11">
        <f>IF(ISNUMBER(H73),IF(N(INDEX('_轮次'!$AL$73:$AW$73,MATCH(H73,'_轮次'!$B$73:$M$73,0)))=0,"—",INDEX('_轮次'!$AL$73:$AW$73,MATCH(H73,'_轮次'!$B$73:$M$73,0))),"—")</f>
        <v/>
      </c>
      <c r="M73" s="8">
        <f>IF(ISNUMBER(H73),IF(H73&gt;'_轮次'!$A$1,"未截止","已截止"),"TBD")</f>
        <v/>
      </c>
      <c r="N73" s="8">
        <f>IF(ISNUMBER(H73),IF(H73&gt;'_轮次'!$A$1,INT(H73-'_轮次'!$A$1),"—"),"—")</f>
        <v/>
      </c>
      <c r="O73" s="12" t="inlineStr">
        <is>
          <t>April 6-9, 2027</t>
        </is>
      </c>
      <c r="P73" s="10" t="inlineStr">
        <is>
          <t>Lille, France</t>
        </is>
      </c>
      <c r="Q73" s="8" t="inlineStr">
        <is>
          <t>线下</t>
        </is>
      </c>
      <c r="R73" s="12" t="inlineStr">
        <is>
          <t>待确认</t>
        </is>
      </c>
      <c r="S73" s="10" t="inlineStr">
        <is>
          <t>待确认</t>
        </is>
      </c>
      <c r="T73" s="8" t="inlineStr">
        <is>
          <t>不限</t>
        </is>
      </c>
      <c r="U73" s="8" t="inlineStr">
        <is>
          <t>—</t>
        </is>
      </c>
      <c r="V73" s="10" t="inlineStr">
        <is>
          <t>CFP未发布</t>
        </is>
      </c>
      <c r="W73" s="8" t="inlineStr">
        <is>
          <t>2027CFP未发布</t>
        </is>
      </c>
      <c r="X73" s="10" t="inlineStr">
        <is>
          <t>是否到场、新人条款</t>
        </is>
      </c>
      <c r="Y73" s="12" t="inlineStr">
        <is>
          <t>https://edbticdt2027.github.io/</t>
        </is>
      </c>
      <c r="Z73" s="10" t="inlineStr">
        <is>
          <t>LIPIcs 开放获取出版；核查:官网仅落地页，无CFP入口；全部轮次 轮:2026-03-11 / 轮:2026-09-11</t>
        </is>
      </c>
    </row>
    <row r="74" ht="32" customHeight="1">
      <c r="A74" s="2" t="n">
        <v>73</v>
      </c>
      <c r="B74" s="3" t="inlineStr">
        <is>
          <t>PODS</t>
        </is>
      </c>
      <c r="C74" s="4" t="inlineStr">
        <is>
          <t>ACM Symposium on Principles of Database Systems</t>
        </is>
      </c>
      <c r="D74" s="4" t="inlineStr">
        <is>
          <t>数据库理论最权威会议，查询语言语义、复杂度与数据模型理论</t>
        </is>
      </c>
      <c r="E74" s="2" t="inlineStr">
        <is>
          <t>数据库/数据挖掘</t>
        </is>
      </c>
      <c r="F74" s="13" t="inlineStr">
        <is>
          <t>B</t>
        </is>
      </c>
      <c r="G74" s="6">
        <f>IF(ISNUMBER(H74),IF(N(INDEX('_轮次'!$N$74:$Y$74,MATCH(H74,'_轮次'!$B$74:$M$74,0)))=0,"—",INDEX('_轮次'!$N$74:$Y$74,MATCH(H74,'_轮次'!$B$74:$M$74,0))),"—")</f>
        <v/>
      </c>
      <c r="H74" s="6">
        <f>IF(COUNT('_轮次'!$B$74:$M$74)=0,"待公布",IF(COUNTIF('_轮次'!$B$74:$M$74,"&gt;"&amp;'_轮次'!$A$1)&gt;0,SMALL('_轮次'!$B$74:$M$74,COUNTIF('_轮次'!$B$74:$M$74,"&lt;="&amp;'_轮次'!$A$1)+1),MAX('_轮次'!$B$74:$M$74)))</f>
        <v/>
      </c>
      <c r="I74" s="7">
        <f>IF(ISNUMBER(H74),INDEX('_轮次'!$AX$74:$BI$74,MATCH(H74,'_轮次'!$B$74:$M$74,0)),"—")</f>
        <v/>
      </c>
      <c r="J74" s="2" t="inlineStr">
        <is>
          <t>AoE</t>
        </is>
      </c>
      <c r="K74" s="6">
        <f>IF(ISNUMBER(H74),IF(N(INDEX('_轮次'!$Z$74:$AK$74,MATCH(H74,'_轮次'!$B$74:$M$74,0)))=0,"—",INDEX('_轮次'!$Z$74:$AK$74,MATCH(H74,'_轮次'!$B$74:$M$74,0))),"—")</f>
        <v/>
      </c>
      <c r="L74" s="6">
        <f>IF(ISNUMBER(H74),IF(N(INDEX('_轮次'!$AL$74:$AW$74,MATCH(H74,'_轮次'!$B$74:$M$74,0)))=0,"—",INDEX('_轮次'!$AL$74:$AW$74,MATCH(H74,'_轮次'!$B$74:$M$74,0))),"—")</f>
        <v/>
      </c>
      <c r="M74" s="2">
        <f>IF(ISNUMBER(H74),IF(H74&gt;'_轮次'!$A$1,"未截止","已截止"),"TBD")</f>
        <v/>
      </c>
      <c r="N74" s="2">
        <f>IF(ISNUMBER(H74),IF(H74&gt;'_轮次'!$A$1,INT(H74-'_轮次'!$A$1),"—"),"—")</f>
        <v/>
      </c>
      <c r="O74" s="7" t="inlineStr">
        <is>
          <t>June 13-19, 2027</t>
        </is>
      </c>
      <c r="P74" s="4" t="inlineStr">
        <is>
          <t>Huntington Beach, California, USA</t>
        </is>
      </c>
      <c r="Q74" s="2" t="inlineStr">
        <is>
          <t>线下</t>
        </is>
      </c>
      <c r="R74" s="7" t="inlineStr">
        <is>
          <t>待确认</t>
        </is>
      </c>
      <c r="S74" s="4" t="inlineStr">
        <is>
          <t>待确认</t>
        </is>
      </c>
      <c r="T74" s="2" t="inlineStr">
        <is>
          <t>不限</t>
        </is>
      </c>
      <c r="U74" s="2" t="inlineStr">
        <is>
          <t>—</t>
        </is>
      </c>
      <c r="V74" s="4" t="inlineStr">
        <is>
          <t>未找到</t>
        </is>
      </c>
      <c r="W74" s="2" t="inlineStr">
        <is>
          <t>已核实</t>
        </is>
      </c>
      <c r="X74" s="4" t="inlineStr">
        <is>
          <t>是否到场、新人条款</t>
        </is>
      </c>
      <c r="Y74" s="7" t="inlineStr">
        <is>
          <t>https://2027.sigmod.org/</t>
        </is>
      </c>
      <c r="Z74" s="4" t="inlineStr">
        <is>
          <t>与 SIGMOD 同期同地举办；核查:两轮制，此为第2轮周期；第1轮5月已过；全部轮次 First Submission Cycle:2026-05-31 / Second Submission Cycle:2026-12-11</t>
        </is>
      </c>
    </row>
    <row r="75" ht="32" customHeight="1">
      <c r="A75" s="8" t="n">
        <v>74</v>
      </c>
      <c r="B75" s="9" t="inlineStr">
        <is>
          <t>RecSys</t>
        </is>
      </c>
      <c r="C75" s="10" t="inlineStr">
        <is>
          <t>ACM Conference on Recommender Systems</t>
        </is>
      </c>
      <c r="D75" s="10" t="inlineStr">
        <is>
          <t>推荐系统唯一专属顶会，工业大规模推荐与评测方法并重</t>
        </is>
      </c>
      <c r="E75" s="8" t="inlineStr">
        <is>
          <t>数据库/数据挖掘</t>
        </is>
      </c>
      <c r="F75" s="13" t="inlineStr">
        <is>
          <t>B</t>
        </is>
      </c>
      <c r="G75" s="11" t="inlineStr">
        <is>
          <t>—</t>
        </is>
      </c>
      <c r="H75" s="11" t="inlineStr">
        <is>
          <t>待公布</t>
        </is>
      </c>
      <c r="I75" s="12" t="inlineStr">
        <is>
          <t>—</t>
        </is>
      </c>
      <c r="J75" s="8" t="inlineStr">
        <is>
          <t>AoE</t>
        </is>
      </c>
      <c r="K75" s="11" t="inlineStr">
        <is>
          <t>—</t>
        </is>
      </c>
      <c r="L75" s="11" t="inlineStr">
        <is>
          <t>待公布</t>
        </is>
      </c>
      <c r="M75" s="8">
        <f>IF(ISNUMBER(H75),IF(H75&gt;'_轮次'!$A$1,"未截止","已截止"),"TBD")</f>
        <v/>
      </c>
      <c r="N75" s="8">
        <f>IF(ISNUMBER(H75),IF(H75&gt;'_轮次'!$A$1,INT(H75-'_轮次'!$A$1),"—"),"—")</f>
        <v/>
      </c>
      <c r="O75" s="12" t="inlineStr">
        <is>
          <t>August 23-27, 2027</t>
        </is>
      </c>
      <c r="P75" s="10" t="inlineStr">
        <is>
          <t>Honolulu, O‘ahu, Hawaii, USA</t>
        </is>
      </c>
      <c r="Q75" s="8" t="inlineStr">
        <is>
          <t>线下</t>
        </is>
      </c>
      <c r="R75" s="12" t="inlineStr">
        <is>
          <t>待确认</t>
        </is>
      </c>
      <c r="S75" s="10" t="inlineStr">
        <is>
          <t>待确认</t>
        </is>
      </c>
      <c r="T75" s="8" t="inlineStr">
        <is>
          <t>不限</t>
        </is>
      </c>
      <c r="U75" s="8" t="inlineStr">
        <is>
          <t>—</t>
        </is>
      </c>
      <c r="V75" s="10" t="inlineStr">
        <is>
          <t>CFP未发布</t>
        </is>
      </c>
      <c r="W75" s="8" t="inlineStr">
        <is>
          <t>2027CFP未发布</t>
        </is>
      </c>
      <c r="X75" s="10" t="inlineStr">
        <is>
          <t>截稿日、是否到场、新人条款</t>
        </is>
      </c>
      <c r="Y75" s="12" t="inlineStr">
        <is>
          <t>https://recsys.acm.org/recsys27/</t>
        </is>
      </c>
      <c r="Z75" s="10" t="inlineStr">
        <is>
          <t>含 industrial track 与 Challenge；核查:官网仅会议信息，CFP页404</t>
        </is>
      </c>
    </row>
    <row r="76" ht="32" customHeight="1">
      <c r="A76" s="2" t="n">
        <v>75</v>
      </c>
      <c r="B76" s="3" t="inlineStr">
        <is>
          <t>WSDM</t>
        </is>
      </c>
      <c r="C76" s="4" t="inlineStr">
        <is>
          <t>International Conference on Web Search and Data Mining</t>
        </is>
      </c>
      <c r="D76" s="4" t="inlineStr">
        <is>
          <t>网页搜索与数据挖掘交叉会议，检索、图学习与用户行为建模</t>
        </is>
      </c>
      <c r="E76" s="2" t="inlineStr">
        <is>
          <t>数据库/数据挖掘</t>
        </is>
      </c>
      <c r="F76" s="13" t="inlineStr">
        <is>
          <t>B</t>
        </is>
      </c>
      <c r="G76" s="6" t="n">
        <v>46252.83263888889</v>
      </c>
      <c r="H76" s="6" t="n">
        <v>46259.83263888889</v>
      </c>
      <c r="I76" s="7" t="inlineStr">
        <is>
          <t>Full Paper</t>
        </is>
      </c>
      <c r="J76" s="2" t="inlineStr">
        <is>
          <t>UTC-12</t>
        </is>
      </c>
      <c r="K76" s="6" t="inlineStr">
        <is>
          <t>—</t>
        </is>
      </c>
      <c r="L76" s="6" t="inlineStr">
        <is>
          <t>2026-11-02</t>
        </is>
      </c>
      <c r="M76" s="2">
        <f>IF(ISNUMBER(H76),IF(H76&gt;'_轮次'!$A$1,"未截止","已截止"),"TBD")</f>
        <v/>
      </c>
      <c r="N76" s="2">
        <f>IF(ISNUMBER(H76),IF(H76&gt;'_轮次'!$A$1,INT(H76-'_轮次'!$A$1),"—"),"—")</f>
        <v/>
      </c>
      <c r="O76" s="7" t="inlineStr">
        <is>
          <t>February 15 - 19, 2027</t>
        </is>
      </c>
      <c r="P76" s="4" t="inlineStr">
        <is>
          <t>Cordis, Hong Kong SAR, China</t>
        </is>
      </c>
      <c r="Q76" s="2" t="inlineStr">
        <is>
          <t>线下</t>
        </is>
      </c>
      <c r="R76" s="7" t="inlineStr">
        <is>
          <t>必须到场</t>
        </is>
      </c>
      <c r="S76" s="4" t="inlineStr">
        <is>
          <t>不设远程，需他人代讲</t>
        </is>
      </c>
      <c r="T76" s="2" t="n">
        <v>10</v>
      </c>
      <c r="U76" s="2" t="inlineStr">
        <is>
          <t>每届</t>
        </is>
      </c>
      <c r="V76" s="4" t="inlineStr">
        <is>
          <t>硬性｜配额 10 篇（每作者全文上限）</t>
        </is>
      </c>
      <c r="W76" s="2" t="inlineStr">
        <is>
          <t>已核实</t>
        </is>
      </c>
      <c r="X76" s="4" t="inlineStr">
        <is>
          <t>—</t>
        </is>
      </c>
      <c r="Y76" s="7" t="inlineStr">
        <is>
          <t>https://wsdm-conference.org/2027/</t>
        </is>
      </c>
      <c r="Z76" s="4" t="inlineStr">
        <is>
          <t>接收率偏低，偏重实证与工业数据；核查:摘要8月17日已过；正文截稿为2026-08-24</t>
        </is>
      </c>
    </row>
    <row r="77" ht="32" customHeight="1">
      <c r="A77" s="8" t="n">
        <v>76</v>
      </c>
      <c r="B77" s="9" t="inlineStr">
        <is>
          <t>DATE</t>
        </is>
      </c>
      <c r="C77" s="10" t="inlineStr">
        <is>
          <t>Design, Automation &amp; Test in Europe</t>
        </is>
      </c>
      <c r="D77" s="10" t="inlineStr">
        <is>
          <t>欧洲设计自动化旗舰会，EDA、嵌入式系统与测试可靠性</t>
        </is>
      </c>
      <c r="E77" s="8" t="inlineStr">
        <is>
          <t>体系结构/并行/存储</t>
        </is>
      </c>
      <c r="F77" s="13" t="inlineStr">
        <is>
          <t>B</t>
        </is>
      </c>
      <c r="G77" s="11" t="n">
        <v>46279.83263888889</v>
      </c>
      <c r="H77" s="11" t="n">
        <v>46286.83263888889</v>
      </c>
      <c r="I77" s="12" t="inlineStr">
        <is>
          <t>单轮</t>
        </is>
      </c>
      <c r="J77" s="8" t="inlineStr">
        <is>
          <t>AoE</t>
        </is>
      </c>
      <c r="K77" s="11" t="inlineStr">
        <is>
          <t>—</t>
        </is>
      </c>
      <c r="L77" s="11" t="inlineStr">
        <is>
          <t>2026-11-23</t>
        </is>
      </c>
      <c r="M77" s="8">
        <f>IF(ISNUMBER(H77),IF(H77&gt;'_轮次'!$A$1,"未截止","已截止"),"TBD")</f>
        <v/>
      </c>
      <c r="N77" s="8">
        <f>IF(ISNUMBER(H77),IF(H77&gt;'_轮次'!$A$1,INT(H77-'_轮次'!$A$1),"—"),"—")</f>
        <v/>
      </c>
      <c r="O77" s="12" t="inlineStr">
        <is>
          <t>March 22-24, 2027</t>
        </is>
      </c>
      <c r="P77" s="10" t="inlineStr">
        <is>
          <t>Dresden, Germany</t>
        </is>
      </c>
      <c r="Q77" s="8" t="inlineStr">
        <is>
          <t>线下</t>
        </is>
      </c>
      <c r="R77" s="12" t="inlineStr">
        <is>
          <t>待确认</t>
        </is>
      </c>
      <c r="S77" s="10" t="inlineStr">
        <is>
          <t>待确认</t>
        </is>
      </c>
      <c r="T77" s="8" t="inlineStr">
        <is>
          <t>不限</t>
        </is>
      </c>
      <c r="U77" s="8" t="inlineStr">
        <is>
          <t>—</t>
        </is>
      </c>
      <c r="V77" s="10" t="inlineStr">
        <is>
          <t>利好｜通道 Young People Programme：PhD Forum、Student Teams Fair、University Fair、Career Fair、Mentoring</t>
        </is>
      </c>
      <c r="W77" s="8" t="inlineStr">
        <is>
          <t>已核实</t>
        </is>
      </c>
      <c r="X77" s="10" t="inlineStr">
        <is>
          <t>是否到场</t>
        </is>
      </c>
      <c r="Y77" s="12" t="inlineStr">
        <is>
          <t>https://www.date-conference.com/date-2027-call-papers</t>
        </is>
      </c>
      <c r="Z77" s="10" t="inlineStr">
        <is>
          <t>双栏 6 页，含 design/EDA/test；核查:9月13日注册摘要，9月20日全文截稿</t>
        </is>
      </c>
    </row>
    <row r="78" ht="32" customHeight="1">
      <c r="A78" s="2" t="n">
        <v>77</v>
      </c>
      <c r="B78" s="3" t="inlineStr">
        <is>
          <t>FPGA</t>
        </is>
      </c>
      <c r="C78" s="4" t="inlineStr">
        <is>
          <t>ACM/SIGDA International Symposium on Field-Programmable Gate Arrays</t>
        </is>
      </c>
      <c r="D78" s="4" t="inlineStr">
        <is>
          <t>FPGA 领域第一会议，体系结构、EDA 工具与硬件加速应用</t>
        </is>
      </c>
      <c r="E78" s="2" t="inlineStr">
        <is>
          <t>体系结构/并行/存储</t>
        </is>
      </c>
      <c r="F78" s="13" t="inlineStr">
        <is>
          <t>B</t>
        </is>
      </c>
      <c r="G78" s="6" t="n">
        <v>46297.83263888889</v>
      </c>
      <c r="H78" s="6" t="n">
        <v>46304.83263888889</v>
      </c>
      <c r="I78" s="7" t="inlineStr">
        <is>
          <t>单轮</t>
        </is>
      </c>
      <c r="J78" s="2" t="inlineStr">
        <is>
          <t>UTC-12</t>
        </is>
      </c>
      <c r="K78" s="6" t="n">
        <v>46342.83263888889</v>
      </c>
      <c r="L78" s="6" t="inlineStr">
        <is>
          <t>2026-11-24</t>
        </is>
      </c>
      <c r="M78" s="2">
        <f>IF(ISNUMBER(H78),IF(H78&gt;'_轮次'!$A$1,"未截止","已截止"),"TBD")</f>
        <v/>
      </c>
      <c r="N78" s="2">
        <f>IF(ISNUMBER(H78),IF(H78&gt;'_轮次'!$A$1,INT(H78-'_轮次'!$A$1),"—"),"—")</f>
        <v/>
      </c>
      <c r="O78" s="7" t="inlineStr">
        <is>
          <t>March 14 - March 16, 2027</t>
        </is>
      </c>
      <c r="P78" s="4" t="inlineStr">
        <is>
          <t>Monterey, California, USA</t>
        </is>
      </c>
      <c r="Q78" s="2" t="inlineStr">
        <is>
          <t>线下</t>
        </is>
      </c>
      <c r="R78" s="7" t="inlineStr">
        <is>
          <t>必须到场</t>
        </is>
      </c>
      <c r="S78" s="4" t="inlineStr">
        <is>
          <t>旅行受限可特殊安排</t>
        </is>
      </c>
      <c r="T78" s="2" t="inlineStr">
        <is>
          <t>不限</t>
        </is>
      </c>
      <c r="U78" s="2" t="inlineStr">
        <is>
          <t>—</t>
        </is>
      </c>
      <c r="V78" s="4" t="inlineStr">
        <is>
          <t>无专属条款</t>
        </is>
      </c>
      <c r="W78" s="2" t="inlineStr">
        <is>
          <t>已核实</t>
        </is>
      </c>
      <c r="X78" s="4" t="inlineStr">
        <is>
          <t>—</t>
        </is>
      </c>
      <c r="Y78" s="7" t="inlineStr">
        <is>
          <t>https://www.isfpga.org/</t>
        </is>
      </c>
      <c r="Z78" s="4" t="inlineStr">
        <is>
          <t>ACM/SIGDA 主办，规模小接收率低；核查:摘要10月1日；正文10月8日，均无延期</t>
        </is>
      </c>
    </row>
    <row r="79" ht="32" customHeight="1">
      <c r="A79" s="8" t="n">
        <v>78</v>
      </c>
      <c r="B79" s="9" t="inlineStr">
        <is>
          <t>HiPEAC</t>
        </is>
      </c>
      <c r="C79" s="10" t="inlineStr">
        <is>
          <t>International Conference on High Performance and Embedded Architectures and Compilers</t>
        </is>
      </c>
      <c r="D79" s="10" t="inlineStr">
        <is>
          <t>高性能与嵌入式体系结构、编译器交叉会议，欧洲社区年会</t>
        </is>
      </c>
      <c r="E79" s="8" t="inlineStr">
        <is>
          <t>体系结构/并行/存储</t>
        </is>
      </c>
      <c r="F79" s="13" t="inlineStr">
        <is>
          <t>B</t>
        </is>
      </c>
      <c r="G79" s="11" t="inlineStr">
        <is>
          <t>—</t>
        </is>
      </c>
      <c r="H79" s="11" t="n">
        <v>46175.83263888889</v>
      </c>
      <c r="I79" s="12" t="inlineStr">
        <is>
          <t>单轮</t>
        </is>
      </c>
      <c r="J79" s="8" t="inlineStr">
        <is>
          <t>AoE</t>
        </is>
      </c>
      <c r="K79" s="11" t="inlineStr">
        <is>
          <t>—</t>
        </is>
      </c>
      <c r="L79" s="11" t="inlineStr">
        <is>
          <t>2026-11-15</t>
        </is>
      </c>
      <c r="M79" s="8">
        <f>IF(ISNUMBER(H79),IF(H79&gt;'_轮次'!$A$1,"未截止","已截止"),"TBD")</f>
        <v/>
      </c>
      <c r="N79" s="8">
        <f>IF(ISNUMBER(H79),IF(H79&gt;'_轮次'!$A$1,INT(H79-'_轮次'!$A$1),"—"),"—")</f>
        <v/>
      </c>
      <c r="O79" s="12" t="inlineStr">
        <is>
          <t>January 18-20, 2027</t>
        </is>
      </c>
      <c r="P79" s="10" t="inlineStr">
        <is>
          <t>Glasgow, Scotland, UK</t>
        </is>
      </c>
      <c r="Q79" s="8" t="inlineStr">
        <is>
          <t>线下</t>
        </is>
      </c>
      <c r="R79" s="12" t="inlineStr">
        <is>
          <t>待确认</t>
        </is>
      </c>
      <c r="S79" s="10" t="inlineStr">
        <is>
          <t>待确认</t>
        </is>
      </c>
      <c r="T79" s="8" t="inlineStr">
        <is>
          <t>不限</t>
        </is>
      </c>
      <c r="U79" s="8" t="inlineStr">
        <is>
          <t>—</t>
        </is>
      </c>
      <c r="V79" s="10" t="inlineStr">
        <is>
          <t>无专属条款</t>
        </is>
      </c>
      <c r="W79" s="8" t="inlineStr">
        <is>
          <t>已核实</t>
        </is>
      </c>
      <c r="X79" s="10" t="inlineStr">
        <is>
          <t>是否到场</t>
        </is>
      </c>
      <c r="Y79" s="12" t="inlineStr">
        <is>
          <t>https://www.hipeac.net/2027/glasgow/#/call-for-papers/</t>
        </is>
      </c>
      <c r="Z79" s="10" t="inlineStr">
        <is>
          <t>与 HiPEAC 年会同期，偏体系结构与编译；核查:journal-first 模式，投稿ACM TACO；6/1前投稿方可入选2027</t>
        </is>
      </c>
    </row>
    <row r="80" ht="32" customHeight="1">
      <c r="A80" s="2" t="n">
        <v>79</v>
      </c>
      <c r="B80" s="3" t="inlineStr">
        <is>
          <t>ICDCS</t>
        </is>
      </c>
      <c r="C80" s="4" t="inlineStr">
        <is>
          <t>IEEE International Conference on Distributed Computing Systems</t>
        </is>
      </c>
      <c r="D80" s="4" t="inlineStr">
        <is>
          <t>分布式系统老牌会议，共识容错、边缘计算与云系统</t>
        </is>
      </c>
      <c r="E80" s="2" t="inlineStr">
        <is>
          <t>体系结构/并行/存储</t>
        </is>
      </c>
      <c r="F80" s="13" t="inlineStr">
        <is>
          <t>B</t>
        </is>
      </c>
      <c r="G80" s="6" t="inlineStr">
        <is>
          <t>—</t>
        </is>
      </c>
      <c r="H80" s="6" t="inlineStr">
        <is>
          <t>待公布</t>
        </is>
      </c>
      <c r="I80" s="7" t="inlineStr">
        <is>
          <t>—</t>
        </is>
      </c>
      <c r="J80" s="2" t="inlineStr">
        <is>
          <t>AoE</t>
        </is>
      </c>
      <c r="K80" s="6" t="inlineStr">
        <is>
          <t>—</t>
        </is>
      </c>
      <c r="L80" s="6" t="inlineStr">
        <is>
          <t>待公布</t>
        </is>
      </c>
      <c r="M80" s="2">
        <f>IF(ISNUMBER(H80),IF(H80&gt;'_轮次'!$A$1,"未截止","已截止"),"TBD")</f>
        <v/>
      </c>
      <c r="N80" s="2">
        <f>IF(ISNUMBER(H80),IF(H80&gt;'_轮次'!$A$1,INT(H80-'_轮次'!$A$1),"—"),"—")</f>
        <v/>
      </c>
      <c r="O80" s="7" t="inlineStr">
        <is>
          <t>July 5-8, 2027</t>
        </is>
      </c>
      <c r="P80" s="4" t="inlineStr">
        <is>
          <t>Melbourne, Australia</t>
        </is>
      </c>
      <c r="Q80" s="2" t="inlineStr">
        <is>
          <t>线下</t>
        </is>
      </c>
      <c r="R80" s="7" t="inlineStr">
        <is>
          <t>待确认</t>
        </is>
      </c>
      <c r="S80" s="4" t="inlineStr">
        <is>
          <t>待确认</t>
        </is>
      </c>
      <c r="T80" s="2" t="inlineStr">
        <is>
          <t>不限</t>
        </is>
      </c>
      <c r="U80" s="2" t="inlineStr">
        <is>
          <t>—</t>
        </is>
      </c>
      <c r="V80" s="4" t="inlineStr">
        <is>
          <t>CFP未发布</t>
        </is>
      </c>
      <c r="W80" s="2" t="inlineStr">
        <is>
          <t>2027CFP未发布</t>
        </is>
      </c>
      <c r="X80" s="4" t="inlineStr">
        <is>
          <t>截稿日、是否到场、新人条款</t>
        </is>
      </c>
      <c r="Y80" s="7" t="inlineStr">
        <is>
          <t>https://icdcs2027.icdcs.org/</t>
        </is>
      </c>
      <c r="Z80" s="4" t="inlineStr">
        <is>
          <t>IEEE 主办，含 poster/demo；核查:官网仅公布会期2027-07-05至08，所有日期TBD</t>
        </is>
      </c>
    </row>
    <row r="81" ht="32" customHeight="1">
      <c r="A81" s="8" t="n">
        <v>80</v>
      </c>
      <c r="B81" s="9" t="inlineStr">
        <is>
          <t>ICS</t>
        </is>
      </c>
      <c r="C81" s="10" t="inlineStr">
        <is>
          <t>ACM International Conference on Supercomputing</t>
        </is>
      </c>
      <c r="D81" s="10" t="inlineStr">
        <is>
          <t>超级计算与高性能计算会议，并行算法、性能建模与加速器</t>
        </is>
      </c>
      <c r="E81" s="8" t="inlineStr">
        <is>
          <t>体系结构/并行/存储</t>
        </is>
      </c>
      <c r="F81" s="13" t="inlineStr">
        <is>
          <t>B</t>
        </is>
      </c>
      <c r="G81" s="11" t="n">
        <v>46358.83263888889</v>
      </c>
      <c r="H81" s="11" t="n">
        <v>46364.83263888889</v>
      </c>
      <c r="I81" s="12" t="inlineStr">
        <is>
          <t>单轮</t>
        </is>
      </c>
      <c r="J81" s="8" t="inlineStr">
        <is>
          <t>AoE</t>
        </is>
      </c>
      <c r="K81" s="11" t="inlineStr">
        <is>
          <t>—</t>
        </is>
      </c>
      <c r="L81" s="11" t="inlineStr">
        <is>
          <t>2027-03-12</t>
        </is>
      </c>
      <c r="M81" s="8">
        <f>IF(ISNUMBER(H81),IF(H81&gt;'_轮次'!$A$1,"未截止","已截止"),"TBD")</f>
        <v/>
      </c>
      <c r="N81" s="8">
        <f>IF(ISNUMBER(H81),IF(H81&gt;'_轮次'!$A$1,INT(H81-'_轮次'!$A$1),"—"),"—")</f>
        <v/>
      </c>
      <c r="O81" s="12" t="inlineStr">
        <is>
          <t>TBD</t>
        </is>
      </c>
      <c r="P81" s="10" t="inlineStr">
        <is>
          <t>Atlanta, Georgia, USA</t>
        </is>
      </c>
      <c r="Q81" s="8" t="inlineStr">
        <is>
          <t>线下</t>
        </is>
      </c>
      <c r="R81" s="12" t="inlineStr">
        <is>
          <t>待确认</t>
        </is>
      </c>
      <c r="S81" s="10" t="inlineStr">
        <is>
          <t>待确认</t>
        </is>
      </c>
      <c r="T81" s="8" t="inlineStr">
        <is>
          <t>不限</t>
        </is>
      </c>
      <c r="U81" s="8" t="inlineStr">
        <is>
          <t>—</t>
        </is>
      </c>
      <c r="V81" s="10" t="inlineStr">
        <is>
          <t>硬性｜无审稿义务（Junior PC 自愿自荐）</t>
        </is>
      </c>
      <c r="W81" s="8" t="inlineStr">
        <is>
          <t>已核实</t>
        </is>
      </c>
      <c r="X81" s="10" t="inlineStr">
        <is>
          <t>是否到场</t>
        </is>
      </c>
      <c r="Y81" s="12" t="inlineStr">
        <is>
          <t>https://ics-conference.org/index.html</t>
        </is>
      </c>
      <c r="Z81" s="10" t="inlineStr">
        <is>
          <t>ACM SIGARCH 主办，与 HPC 社区重合；核查:摘要2026-12-01；早期拒稿2027-02-11</t>
        </is>
      </c>
    </row>
    <row r="82" ht="32" customHeight="1">
      <c r="A82" s="2" t="n">
        <v>81</v>
      </c>
      <c r="B82" s="3" t="inlineStr">
        <is>
          <t>IEEE/ACM CGO</t>
        </is>
      </c>
      <c r="C82" s="4" t="inlineStr">
        <is>
          <t>The International Symposium on Code Generation and Optimization</t>
        </is>
      </c>
      <c r="D82" s="4" t="inlineStr">
        <is>
          <t>代码生成与编译优化专会，JIT、ML 编译器与自动调优</t>
        </is>
      </c>
      <c r="E82" s="2" t="inlineStr">
        <is>
          <t>体系结构/并行/存储</t>
        </is>
      </c>
      <c r="F82" s="13" t="inlineStr">
        <is>
          <t>B</t>
        </is>
      </c>
      <c r="G82" s="6">
        <f>IF(ISNUMBER(H82),IF(N(INDEX('_轮次'!$N$82:$Y$82,MATCH(H82,'_轮次'!$B$82:$M$82,0)))=0,"—",INDEX('_轮次'!$N$82:$Y$82,MATCH(H82,'_轮次'!$B$82:$M$82,0))),"—")</f>
        <v/>
      </c>
      <c r="H82" s="6">
        <f>IF(COUNT('_轮次'!$B$82:$M$82)=0,"待公布",IF(COUNTIF('_轮次'!$B$82:$M$82,"&gt;"&amp;'_轮次'!$A$1)&gt;0,SMALL('_轮次'!$B$82:$M$82,COUNTIF('_轮次'!$B$82:$M$82,"&lt;="&amp;'_轮次'!$A$1)+1),MAX('_轮次'!$B$82:$M$82)))</f>
        <v/>
      </c>
      <c r="I82" s="7">
        <f>IF(ISNUMBER(H82),INDEX('_轮次'!$AX$82:$BI$82,MATCH(H82,'_轮次'!$B$82:$M$82,0)),"—")</f>
        <v/>
      </c>
      <c r="J82" s="2" t="inlineStr">
        <is>
          <t>AoE</t>
        </is>
      </c>
      <c r="K82" s="6">
        <f>IF(ISNUMBER(H82),IF(N(INDEX('_轮次'!$Z$82:$AK$82,MATCH(H82,'_轮次'!$B$82:$M$82,0)))=0,"—",INDEX('_轮次'!$Z$82:$AK$82,MATCH(H82,'_轮次'!$B$82:$M$82,0))),"—")</f>
        <v/>
      </c>
      <c r="L82" s="6">
        <f>IF(ISNUMBER(H82),IF(N(INDEX('_轮次'!$AL$82:$AW$82,MATCH(H82,'_轮次'!$B$82:$M$82,0)))=0,"—",INDEX('_轮次'!$AL$82:$AW$82,MATCH(H82,'_轮次'!$B$82:$M$82,0))),"—")</f>
        <v/>
      </c>
      <c r="M82" s="2">
        <f>IF(ISNUMBER(H82),IF(H82&gt;'_轮次'!$A$1,"未截止","已截止"),"TBD")</f>
        <v/>
      </c>
      <c r="N82" s="2">
        <f>IF(ISNUMBER(H82),IF(H82&gt;'_轮次'!$A$1,INT(H82-'_轮次'!$A$1),"—"),"—")</f>
        <v/>
      </c>
      <c r="O82" s="7" t="inlineStr">
        <is>
          <t>March 20-24, 2027</t>
        </is>
      </c>
      <c r="P82" s="4" t="inlineStr">
        <is>
          <t>Salt Lake City, Utah, USA</t>
        </is>
      </c>
      <c r="Q82" s="2" t="inlineStr">
        <is>
          <t>线下</t>
        </is>
      </c>
      <c r="R82" s="7" t="inlineStr">
        <is>
          <t>待确认</t>
        </is>
      </c>
      <c r="S82" s="4" t="inlineStr">
        <is>
          <t>待确认</t>
        </is>
      </c>
      <c r="T82" s="2" t="inlineStr">
        <is>
          <t>不限</t>
        </is>
      </c>
      <c r="U82" s="2" t="inlineStr">
        <is>
          <t>—</t>
        </is>
      </c>
      <c r="V82" s="4" t="inlineStr">
        <is>
          <t>未找到</t>
        </is>
      </c>
      <c r="W82" s="2" t="inlineStr">
        <is>
          <t>已核实</t>
        </is>
      </c>
      <c r="X82" s="4" t="inlineStr">
        <is>
          <t>是否到场、新人条款</t>
        </is>
      </c>
      <c r="Y82" s="7" t="inlineStr">
        <is>
          <t>https://conf.researchr.org/home/cgo-2027</t>
        </is>
      </c>
      <c r="Z82" s="4" t="inlineStr">
        <is>
          <t>编译器方向核心会议，规模较小；核查:两轮投稿：R1截稿2026-06-11、通知2026-08-03；全部轮次 First Submission:2026-06-12 / Second Submission:2026-09-11</t>
        </is>
      </c>
    </row>
    <row r="83" ht="32" customHeight="1">
      <c r="A83" s="8" t="n">
        <v>82</v>
      </c>
      <c r="B83" s="9" t="inlineStr">
        <is>
          <t>IPDPS</t>
        </is>
      </c>
      <c r="C83" s="10" t="inlineStr">
        <is>
          <t>IEEE International Parallel and Distributed Processing Symposium</t>
        </is>
      </c>
      <c r="D83" s="10" t="inlineStr">
        <is>
          <t>并行与分布式处理主会，HPC、GPU 加速与大规模系统</t>
        </is>
      </c>
      <c r="E83" s="8" t="inlineStr">
        <is>
          <t>体系结构/并行/存储</t>
        </is>
      </c>
      <c r="F83" s="13" t="inlineStr">
        <is>
          <t>B</t>
        </is>
      </c>
      <c r="G83" s="11" t="n">
        <v>46297.83263888889</v>
      </c>
      <c r="H83" s="11" t="n">
        <v>46304.83263888889</v>
      </c>
      <c r="I83" s="12" t="inlineStr">
        <is>
          <t>单轮</t>
        </is>
      </c>
      <c r="J83" s="8" t="inlineStr">
        <is>
          <t>AoE</t>
        </is>
      </c>
      <c r="K83" s="11" t="n">
        <v>46360.83263888889</v>
      </c>
      <c r="L83" s="11" t="inlineStr">
        <is>
          <t>2027-02-02</t>
        </is>
      </c>
      <c r="M83" s="8">
        <f>IF(ISNUMBER(H83),IF(H83&gt;'_轮次'!$A$1,"未截止","已截止"),"TBD")</f>
        <v/>
      </c>
      <c r="N83" s="8">
        <f>IF(ISNUMBER(H83),IF(H83&gt;'_轮次'!$A$1,INT(H83-'_轮次'!$A$1),"—"),"—")</f>
        <v/>
      </c>
      <c r="O83" s="12" t="inlineStr">
        <is>
          <t>June 1-5, 2027</t>
        </is>
      </c>
      <c r="P83" s="10" t="inlineStr">
        <is>
          <t>Seattle, USA</t>
        </is>
      </c>
      <c r="Q83" s="8" t="inlineStr">
        <is>
          <t>线下</t>
        </is>
      </c>
      <c r="R83" s="12" t="inlineStr">
        <is>
          <t>必须到场</t>
        </is>
      </c>
      <c r="S83" s="10" t="inlineStr">
        <is>
          <t>待确认</t>
        </is>
      </c>
      <c r="T83" s="8" t="n">
        <v>8</v>
      </c>
      <c r="U83" s="8" t="inlineStr">
        <is>
          <t>每届</t>
        </is>
      </c>
      <c r="V83" s="10" t="inlineStr">
        <is>
          <t>无专属条款</t>
        </is>
      </c>
      <c r="W83" s="8" t="inlineStr">
        <is>
          <t>已核实</t>
        </is>
      </c>
      <c r="X83" s="10" t="inlineStr">
        <is>
          <t>—</t>
        </is>
      </c>
      <c r="Y83" s="12" t="inlineStr">
        <is>
          <t>https://www.ipdps.org/</t>
        </is>
      </c>
      <c r="Z83" s="10" t="inlineStr">
        <is>
          <t>IEEE 主办，含 workshop 与 PhD forum；核查:摘要2026-10-01；同作者限投8篇；正文强调现场报告</t>
        </is>
      </c>
    </row>
    <row r="84" ht="32" customHeight="1">
      <c r="A84" s="2" t="n">
        <v>83</v>
      </c>
      <c r="B84" s="3" t="inlineStr">
        <is>
          <t>ISCAS</t>
        </is>
      </c>
      <c r="C84" s="4" t="inlineStr">
        <is>
          <t>IEEE International Symposium on Circuits and Systems</t>
        </is>
      </c>
      <c r="D84" s="4" t="inlineStr">
        <is>
          <t>电路与系统旗舰会，模拟数字电路、信号处理与 VLSI 设计</t>
        </is>
      </c>
      <c r="E84" s="2" t="inlineStr">
        <is>
          <t>体系结构/并行/存储</t>
        </is>
      </c>
      <c r="F84" s="13" t="inlineStr">
        <is>
          <t>B</t>
        </is>
      </c>
      <c r="G84" s="6" t="inlineStr">
        <is>
          <t>—</t>
        </is>
      </c>
      <c r="H84" s="6" t="n">
        <v>46322.54097222222</v>
      </c>
      <c r="I84" s="7" t="inlineStr">
        <is>
          <t>单轮</t>
        </is>
      </c>
      <c r="J84" s="2" t="inlineStr">
        <is>
          <t>UTC-5</t>
        </is>
      </c>
      <c r="K84" s="6" t="inlineStr">
        <is>
          <t>—</t>
        </is>
      </c>
      <c r="L84" s="6" t="inlineStr">
        <is>
          <t>待公布</t>
        </is>
      </c>
      <c r="M84" s="2">
        <f>IF(ISNUMBER(H84),IF(H84&gt;'_轮次'!$A$1,"未截止","已截止"),"TBD")</f>
        <v/>
      </c>
      <c r="N84" s="2">
        <f>IF(ISNUMBER(H84),IF(H84&gt;'_轮次'!$A$1,INT(H84-'_轮次'!$A$1),"—"),"—")</f>
        <v/>
      </c>
      <c r="O84" s="7" t="inlineStr">
        <is>
          <t>June 6-9, 2027</t>
        </is>
      </c>
      <c r="P84" s="4" t="inlineStr">
        <is>
          <t>Bordeaux, France</t>
        </is>
      </c>
      <c r="Q84" s="2" t="inlineStr">
        <is>
          <t>线下</t>
        </is>
      </c>
      <c r="R84" s="7" t="inlineStr">
        <is>
          <t>待确认</t>
        </is>
      </c>
      <c r="S84" s="4" t="inlineStr">
        <is>
          <t>待确认</t>
        </is>
      </c>
      <c r="T84" s="2" t="inlineStr">
        <is>
          <t>不限</t>
        </is>
      </c>
      <c r="U84" s="2" t="inlineStr">
        <is>
          <t>—</t>
        </is>
      </c>
      <c r="V84" s="4" t="inlineStr">
        <is>
          <t>CFP未发布</t>
        </is>
      </c>
      <c r="W84" s="2" t="inlineStr">
        <is>
          <t>2027CFP未发布</t>
        </is>
      </c>
      <c r="X84" s="4" t="inlineStr">
        <is>
          <t>是否到场、新人条款</t>
        </is>
      </c>
      <c r="Y84" s="7" t="inlineStr">
        <is>
          <t>https://2027.ieee-iscas.org/</t>
        </is>
      </c>
      <c r="Z84" s="4" t="inlineStr">
        <is>
          <t>IEEE CAS 主办，规模极大，审稿周期短；核查:官网仅有会期2027-06-06至09，无截稿信息</t>
        </is>
      </c>
    </row>
    <row r="85" ht="32" customHeight="1">
      <c r="A85" s="8" t="n">
        <v>84</v>
      </c>
      <c r="B85" s="9" t="inlineStr">
        <is>
          <t>MSST</t>
        </is>
      </c>
      <c r="C85" s="10" t="inlineStr">
        <is>
          <t>International Conference on Massive Storage Systems and Technology</t>
        </is>
      </c>
      <c r="D85" s="10" t="inlineStr">
        <is>
          <t>大规模存储系统与技术会议，闪存、硬盘与分布式存储架构</t>
        </is>
      </c>
      <c r="E85" s="8" t="inlineStr">
        <is>
          <t>体系结构/并行/存储</t>
        </is>
      </c>
      <c r="F85" s="13" t="inlineStr">
        <is>
          <t>B</t>
        </is>
      </c>
      <c r="G85" s="11" t="inlineStr">
        <is>
          <t>—</t>
        </is>
      </c>
      <c r="H85" s="11" t="inlineStr">
        <is>
          <t>待公布</t>
        </is>
      </c>
      <c r="I85" s="12" t="inlineStr">
        <is>
          <t>—</t>
        </is>
      </c>
      <c r="J85" s="8" t="inlineStr">
        <is>
          <t>AoE</t>
        </is>
      </c>
      <c r="K85" s="11" t="inlineStr">
        <is>
          <t>—</t>
        </is>
      </c>
      <c r="L85" s="11" t="inlineStr">
        <is>
          <t>待公布</t>
        </is>
      </c>
      <c r="M85" s="8">
        <f>IF(ISNUMBER(H85),IF(H85&gt;'_轮次'!$A$1,"未截止","已截止"),"TBD")</f>
        <v/>
      </c>
      <c r="N85" s="8">
        <f>IF(ISNUMBER(H85),IF(H85&gt;'_轮次'!$A$1,INT(H85-'_轮次'!$A$1),"—"),"—")</f>
        <v/>
      </c>
      <c r="O85" s="12" t="inlineStr">
        <is>
          <t>May 17-21, 2027</t>
        </is>
      </c>
      <c r="P85" s="10" t="inlineStr">
        <is>
          <t>TBD</t>
        </is>
      </c>
      <c r="Q85" s="8" t="inlineStr">
        <is>
          <t>线下</t>
        </is>
      </c>
      <c r="R85" s="12" t="inlineStr">
        <is>
          <t>待确认</t>
        </is>
      </c>
      <c r="S85" s="10" t="inlineStr">
        <is>
          <t>待确认</t>
        </is>
      </c>
      <c r="T85" s="8" t="inlineStr">
        <is>
          <t>不限</t>
        </is>
      </c>
      <c r="U85" s="8" t="inlineStr">
        <is>
          <t>—</t>
        </is>
      </c>
      <c r="V85" s="10" t="inlineStr">
        <is>
          <t>CFP未发布</t>
        </is>
      </c>
      <c r="W85" s="8" t="inlineStr">
        <is>
          <t>2027CFP未发布</t>
        </is>
      </c>
      <c r="X85" s="10" t="inlineStr">
        <is>
          <t>截稿日、是否到场、新人条款</t>
        </is>
      </c>
      <c r="Y85" s="12" t="inlineStr">
        <is>
          <t>https://www.msstconference.org/</t>
        </is>
      </c>
      <c r="Z85" s="10" t="inlineStr">
        <is>
          <t>2027 举办地点尚未公布；核查:仅公布会期2027-05-17至21，官网仍为MSST 2026内容</t>
        </is>
      </c>
    </row>
    <row r="86" ht="32" customHeight="1">
      <c r="A86" s="2" t="n">
        <v>85</v>
      </c>
      <c r="B86" s="3" t="inlineStr">
        <is>
          <t>RTAS</t>
        </is>
      </c>
      <c r="C86" s="4" t="inlineStr">
        <is>
          <t>IEEE Real-Time and Embedded Technology and Applications Symposium</t>
        </is>
      </c>
      <c r="D86" s="4" t="inlineStr">
        <is>
          <t>实时与嵌入式系统应用会议，实时调度、时序分析与信息物理系统</t>
        </is>
      </c>
      <c r="E86" s="2" t="inlineStr">
        <is>
          <t>体系结构/并行/存储</t>
        </is>
      </c>
      <c r="F86" s="13" t="inlineStr">
        <is>
          <t>B</t>
        </is>
      </c>
      <c r="G86" s="6" t="inlineStr">
        <is>
          <t>—</t>
        </is>
      </c>
      <c r="H86" s="6" t="n">
        <v>46332.83263888889</v>
      </c>
      <c r="I86" s="7" t="inlineStr">
        <is>
          <t>Submission Deadline (Firm)</t>
        </is>
      </c>
      <c r="J86" s="2" t="inlineStr">
        <is>
          <t>AoE</t>
        </is>
      </c>
      <c r="K86" s="6" t="n">
        <v>46403.83263888889</v>
      </c>
      <c r="L86" s="6" t="inlineStr">
        <is>
          <t>2027-01-28</t>
        </is>
      </c>
      <c r="M86" s="2">
        <f>IF(ISNUMBER(H86),IF(H86&gt;'_轮次'!$A$1,"未截止","已截止"),"TBD")</f>
        <v/>
      </c>
      <c r="N86" s="2">
        <f>IF(ISNUMBER(H86),IF(H86&gt;'_轮次'!$A$1,INT(H86-'_轮次'!$A$1),"—"),"—")</f>
        <v/>
      </c>
      <c r="O86" s="7" t="inlineStr">
        <is>
          <t>May 17-20, 2027</t>
        </is>
      </c>
      <c r="P86" s="4" t="inlineStr">
        <is>
          <t>Boulder, Colorado</t>
        </is>
      </c>
      <c r="Q86" s="2" t="inlineStr">
        <is>
          <t>线下</t>
        </is>
      </c>
      <c r="R86" s="7" t="inlineStr">
        <is>
          <t>必须到场</t>
        </is>
      </c>
      <c r="S86" s="4" t="inlineStr">
        <is>
          <t>不允许预录视频报告</t>
        </is>
      </c>
      <c r="T86" s="2" t="inlineStr">
        <is>
          <t>不限</t>
        </is>
      </c>
      <c r="U86" s="2" t="inlineStr">
        <is>
          <t>—</t>
        </is>
      </c>
      <c r="V86" s="4" t="inlineStr">
        <is>
          <t>硬性｜投稿时每位作者须填 ORCID iD</t>
        </is>
      </c>
      <c r="W86" s="2" t="inlineStr">
        <is>
          <t>已核实</t>
        </is>
      </c>
      <c r="X86" s="4" t="inlineStr">
        <is>
          <t>—</t>
        </is>
      </c>
      <c r="Y86" s="7" t="inlineStr">
        <is>
          <t>https://2027.rtas.org/</t>
        </is>
      </c>
      <c r="Z86" s="4" t="inlineStr">
        <is>
          <t>与 CPS-IoT Week 同期举办；核查:截稿2026-11-05(AoE, firm)；通知日官网标注 tentative；重查:未现场报告的论文将从 IEEE Xplore 撤除</t>
        </is>
      </c>
    </row>
    <row r="87" ht="32" customHeight="1">
      <c r="A87" s="8" t="n">
        <v>86</v>
      </c>
      <c r="B87" s="9" t="inlineStr">
        <is>
          <t>SIGMETRICS</t>
        </is>
      </c>
      <c r="C87" s="10" t="inlineStr">
        <is>
          <t>ACM Special Interest Group on Measurement and Evaluation</t>
        </is>
      </c>
      <c r="D87" s="10" t="inlineStr">
        <is>
          <t>系统性能测量与建模旗舰会，重排队论调度与云资源实测</t>
        </is>
      </c>
      <c r="E87" s="8" t="inlineStr">
        <is>
          <t>体系结构/并行/存储</t>
        </is>
      </c>
      <c r="F87" s="13" t="inlineStr">
        <is>
          <t>B</t>
        </is>
      </c>
      <c r="G87" s="11">
        <f>IF(ISNUMBER(H87),IF(N(INDEX('_轮次'!$N$87:$Y$87,MATCH(H87,'_轮次'!$B$87:$M$87,0)))=0,"—",INDEX('_轮次'!$N$87:$Y$87,MATCH(H87,'_轮次'!$B$87:$M$87,0))),"—")</f>
        <v/>
      </c>
      <c r="H87" s="11">
        <f>IF(COUNT('_轮次'!$B$87:$M$87)=0,"待公布",IF(COUNTIF('_轮次'!$B$87:$M$87,"&gt;"&amp;'_轮次'!$A$1)&gt;0,SMALL('_轮次'!$B$87:$M$87,COUNTIF('_轮次'!$B$87:$M$87,"&lt;="&amp;'_轮次'!$A$1)+1),MAX('_轮次'!$B$87:$M$87)))</f>
        <v/>
      </c>
      <c r="I87" s="12">
        <f>IF(ISNUMBER(H87),INDEX('_轮次'!$AX$87:$BI$87,MATCH(H87,'_轮次'!$B$87:$M$87,0)),"—")</f>
        <v/>
      </c>
      <c r="J87" s="8" t="inlineStr">
        <is>
          <t>AoE</t>
        </is>
      </c>
      <c r="K87" s="11">
        <f>IF(ISNUMBER(H87),IF(N(INDEX('_轮次'!$Z$87:$AK$87,MATCH(H87,'_轮次'!$B$87:$M$87,0)))=0,"—",INDEX('_轮次'!$Z$87:$AK$87,MATCH(H87,'_轮次'!$B$87:$M$87,0))),"—")</f>
        <v/>
      </c>
      <c r="L87" s="11">
        <f>IF(ISNUMBER(H87),IF(N(INDEX('_轮次'!$AL$87:$AW$87,MATCH(H87,'_轮次'!$B$87:$M$87,0)))=0,"—",INDEX('_轮次'!$AL$87:$AW$87,MATCH(H87,'_轮次'!$B$87:$M$87,0))),"—")</f>
        <v/>
      </c>
      <c r="M87" s="8">
        <f>IF(ISNUMBER(H87),IF(H87&gt;'_轮次'!$A$1,"未截止","已截止"),"TBD")</f>
        <v/>
      </c>
      <c r="N87" s="8">
        <f>IF(ISNUMBER(H87),IF(H87&gt;'_轮次'!$A$1,INT(H87-'_轮次'!$A$1),"—"),"—")</f>
        <v/>
      </c>
      <c r="O87" s="12" t="inlineStr">
        <is>
          <t>June 7-11, 2027</t>
        </is>
      </c>
      <c r="P87" s="10" t="inlineStr">
        <is>
          <t>Atlanta, Georgia, USA</t>
        </is>
      </c>
      <c r="Q87" s="8" t="inlineStr">
        <is>
          <t>线下</t>
        </is>
      </c>
      <c r="R87" s="12" t="inlineStr">
        <is>
          <t>必须到场</t>
        </is>
      </c>
      <c r="S87" s="10" t="inlineStr">
        <is>
          <t>待确认</t>
        </is>
      </c>
      <c r="T87" s="8" t="inlineStr">
        <is>
          <t>不限</t>
        </is>
      </c>
      <c r="U87" s="8" t="inlineStr">
        <is>
          <t>—</t>
        </is>
      </c>
      <c r="V87" s="10" t="inlineStr">
        <is>
          <t>无专属条款</t>
        </is>
      </c>
      <c r="W87" s="8" t="inlineStr">
        <is>
          <t>已核实</t>
        </is>
      </c>
      <c r="X87" s="10" t="inlineStr">
        <is>
          <t>—</t>
        </is>
      </c>
      <c r="Y87" s="12" t="inlineStr">
        <is>
          <t>https://www.sigmetrics.org/sigmetrics2027/</t>
        </is>
      </c>
      <c r="Z87" s="10" t="inlineStr">
        <is>
          <t>常与 Performance 合办；核查:三轮投稿制，夏/秋轮已过，末轮截稿2027-01-11；全部轮次 summer round:2026-07-11 / fall round:2026-10-10 / winter round:2027-01-12</t>
        </is>
      </c>
    </row>
    <row r="88" ht="32" customHeight="1">
      <c r="A88" s="2" t="n">
        <v>87</v>
      </c>
      <c r="B88" s="3" t="inlineStr">
        <is>
          <t>SPAA</t>
        </is>
      </c>
      <c r="C88" s="4" t="inlineStr">
        <is>
          <t>ACM Symposium on Parallelism in Algorithms and Architectures</t>
        </is>
      </c>
      <c r="D88" s="4" t="inlineStr">
        <is>
          <t>并行与分布式算法理论会议，关注算法复杂度、下界与并行计算模型</t>
        </is>
      </c>
      <c r="E88" s="2" t="inlineStr">
        <is>
          <t>体系结构/并行/存储</t>
        </is>
      </c>
      <c r="F88" s="13" t="inlineStr">
        <is>
          <t>B</t>
        </is>
      </c>
      <c r="G88" s="6">
        <f>IF(ISNUMBER(H88),IF(N(INDEX('_轮次'!$N$88:$Y$88,MATCH(H88,'_轮次'!$B$88:$M$88,0)))=0,"—",INDEX('_轮次'!$N$88:$Y$88,MATCH(H88,'_轮次'!$B$88:$M$88,0))),"—")</f>
        <v/>
      </c>
      <c r="H88" s="6">
        <f>IF(COUNT('_轮次'!$B$88:$M$88)=0,"待公布",IF(COUNTIF('_轮次'!$B$88:$M$88,"&gt;"&amp;'_轮次'!$A$1)&gt;0,SMALL('_轮次'!$B$88:$M$88,COUNTIF('_轮次'!$B$88:$M$88,"&lt;="&amp;'_轮次'!$A$1)+1),MAX('_轮次'!$B$88:$M$88)))</f>
        <v/>
      </c>
      <c r="I88" s="7">
        <f>IF(ISNUMBER(H88),INDEX('_轮次'!$AX$88:$BI$88,MATCH(H88,'_轮次'!$B$88:$M$88,0)),"—")</f>
        <v/>
      </c>
      <c r="J88" s="2" t="inlineStr">
        <is>
          <t>AoE</t>
        </is>
      </c>
      <c r="K88" s="6">
        <f>IF(ISNUMBER(H88),IF(N(INDEX('_轮次'!$Z$88:$AK$88,MATCH(H88,'_轮次'!$B$88:$M$88,0)))=0,"—",INDEX('_轮次'!$Z$88:$AK$88,MATCH(H88,'_轮次'!$B$88:$M$88,0))),"—")</f>
        <v/>
      </c>
      <c r="L88" s="6">
        <f>IF(ISNUMBER(H88),IF(N(INDEX('_轮次'!$AL$88:$AW$88,MATCH(H88,'_轮次'!$B$88:$M$88,0)))=0,"—",INDEX('_轮次'!$AL$88:$AW$88,MATCH(H88,'_轮次'!$B$88:$M$88,0))),"—")</f>
        <v/>
      </c>
      <c r="M88" s="2">
        <f>IF(ISNUMBER(H88),IF(H88&gt;'_轮次'!$A$1,"未截止","已截止"),"TBD")</f>
        <v/>
      </c>
      <c r="N88" s="2">
        <f>IF(ISNUMBER(H88),IF(H88&gt;'_轮次'!$A$1,INT(H88-'_轮次'!$A$1),"—"),"—")</f>
        <v/>
      </c>
      <c r="O88" s="7" t="inlineStr">
        <is>
          <t>June 5 - June 11, 2027</t>
        </is>
      </c>
      <c r="P88" s="4" t="inlineStr">
        <is>
          <t>Atlanta, GA, USA</t>
        </is>
      </c>
      <c r="Q88" s="2" t="inlineStr">
        <is>
          <t>线下</t>
        </is>
      </c>
      <c r="R88" s="7" t="inlineStr">
        <is>
          <t>待确认</t>
        </is>
      </c>
      <c r="S88" s="4" t="inlineStr">
        <is>
          <t>待确认</t>
        </is>
      </c>
      <c r="T88" s="2" t="inlineStr">
        <is>
          <t>不限</t>
        </is>
      </c>
      <c r="U88" s="2" t="inlineStr">
        <is>
          <t>—</t>
        </is>
      </c>
      <c r="V88" s="4" t="inlineStr">
        <is>
          <t>无专属条款</t>
        </is>
      </c>
      <c r="W88" s="2" t="inlineStr">
        <is>
          <t>已核实</t>
        </is>
      </c>
      <c r="X88" s="4" t="inlineStr">
        <is>
          <t>是否到场</t>
        </is>
      </c>
      <c r="Y88" s="7" t="inlineStr">
        <is>
          <t>https://spaa.acm.org/</t>
        </is>
      </c>
      <c r="Z88" s="4" t="inlineStr">
        <is>
          <t>理论会议，纯证明型投稿为主；核查:两轮投稿，第二轮截稿2027-01-29；CFP日期未标年份；全部轮次 Cycle 1:2026-09-26 / Cycle 2:2027-01-30</t>
        </is>
      </c>
    </row>
    <row r="89" ht="32" customHeight="1">
      <c r="A89" s="8" t="n">
        <v>88</v>
      </c>
      <c r="B89" s="9" t="inlineStr">
        <is>
          <t>GROUP</t>
        </is>
      </c>
      <c r="C89" s="10" t="inlineStr">
        <is>
          <t>ACM International Conference on Supporting Group Work</t>
        </is>
      </c>
      <c r="D89" s="10" t="inlineStr">
        <is>
          <t>面向群体协作的支持协同工作会议，兼收社会计算研究</t>
        </is>
      </c>
      <c r="E89" s="8" t="inlineStr">
        <is>
          <t>人机交互与普适计算</t>
        </is>
      </c>
      <c r="F89" s="13" t="inlineStr">
        <is>
          <t>B</t>
        </is>
      </c>
      <c r="G89" s="11">
        <f>IF(ISNUMBER(H89),IF(N(INDEX('_轮次'!$N$89:$Y$89,MATCH(H89,'_轮次'!$B$89:$M$89,0)))=0,"—",INDEX('_轮次'!$N$89:$Y$89,MATCH(H89,'_轮次'!$B$89:$M$89,0))),"—")</f>
        <v/>
      </c>
      <c r="H89" s="11">
        <f>IF(COUNT('_轮次'!$B$89:$M$89)=0,"待公布",IF(COUNTIF('_轮次'!$B$89:$M$89,"&gt;"&amp;'_轮次'!$A$1)&gt;0,SMALL('_轮次'!$B$89:$M$89,COUNTIF('_轮次'!$B$89:$M$89,"&lt;="&amp;'_轮次'!$A$1)+1),MAX('_轮次'!$B$89:$M$89)))</f>
        <v/>
      </c>
      <c r="I89" s="12">
        <f>IF(ISNUMBER(H89),INDEX('_轮次'!$AX$89:$BI$89,MATCH(H89,'_轮次'!$B$89:$M$89,0)),"—")</f>
        <v/>
      </c>
      <c r="J89" s="8" t="inlineStr">
        <is>
          <t>AoE</t>
        </is>
      </c>
      <c r="K89" s="11">
        <f>IF(ISNUMBER(H89),IF(N(INDEX('_轮次'!$Z$89:$AK$89,MATCH(H89,'_轮次'!$B$89:$M$89,0)))=0,"—",INDEX('_轮次'!$Z$89:$AK$89,MATCH(H89,'_轮次'!$B$89:$M$89,0))),"—")</f>
        <v/>
      </c>
      <c r="L89" s="11">
        <f>IF(ISNUMBER(H89),IF(N(INDEX('_轮次'!$AL$89:$AW$89,MATCH(H89,'_轮次'!$B$89:$M$89,0)))=0,"—",INDEX('_轮次'!$AL$89:$AW$89,MATCH(H89,'_轮次'!$B$89:$M$89,0))),"—")</f>
        <v/>
      </c>
      <c r="M89" s="8">
        <f>IF(ISNUMBER(H89),IF(H89&gt;'_轮次'!$A$1,"未截止","已截止"),"TBD")</f>
        <v/>
      </c>
      <c r="N89" s="8">
        <f>IF(ISNUMBER(H89),IF(H89&gt;'_轮次'!$A$1,INT(H89-'_轮次'!$A$1),"—"),"—")</f>
        <v/>
      </c>
      <c r="O89" s="12" t="inlineStr">
        <is>
          <t>January 10-13, 2027</t>
        </is>
      </c>
      <c r="P89" s="10" t="inlineStr">
        <is>
          <t>St Simons Island, Georgia, USA</t>
        </is>
      </c>
      <c r="Q89" s="8" t="inlineStr">
        <is>
          <t>线下</t>
        </is>
      </c>
      <c r="R89" s="12" t="inlineStr">
        <is>
          <t>待确认</t>
        </is>
      </c>
      <c r="S89" s="10" t="inlineStr">
        <is>
          <t>待确认</t>
        </is>
      </c>
      <c r="T89" s="8" t="inlineStr">
        <is>
          <t>不限</t>
        </is>
      </c>
      <c r="U89" s="8" t="inlineStr">
        <is>
          <t>—</t>
        </is>
      </c>
      <c r="V89" s="10" t="inlineStr">
        <is>
          <t>未找到</t>
        </is>
      </c>
      <c r="W89" s="8" t="inlineStr">
        <is>
          <t>已核实</t>
        </is>
      </c>
      <c r="X89" s="10" t="inlineStr">
        <is>
          <t>是否到场、新人条款</t>
        </is>
      </c>
      <c r="Y89" s="12" t="inlineStr">
        <is>
          <t>https://group.acm.org/conferences/group27/</t>
        </is>
      </c>
      <c r="Z89" s="10" t="inlineStr">
        <is>
          <t>论文现多刊于 PACM HCI；核查:两轮投稿均已截止；官网称线下举办但未明示作者到场要求；全部轮次 Full Paper First Wave Submissions:2025-07-16 / Full Paper Second Wave Submissions (extended):2026-04-01</t>
        </is>
      </c>
    </row>
    <row r="90" ht="32" customHeight="1">
      <c r="A90" s="2" t="n">
        <v>89</v>
      </c>
      <c r="B90" s="3" t="inlineStr">
        <is>
          <t>ICWSM</t>
        </is>
      </c>
      <c r="C90" s="4" t="inlineStr">
        <is>
          <t>The International AAAI Conference on Web and Social Media</t>
        </is>
      </c>
      <c r="D90" s="4" t="inlineStr">
        <is>
          <t>网络与社交媒体研究会议，社交网络分析、计算社会科学与信息扩散</t>
        </is>
      </c>
      <c r="E90" s="2" t="inlineStr">
        <is>
          <t>人机交互与普适计算</t>
        </is>
      </c>
      <c r="F90" s="13" t="inlineStr">
        <is>
          <t>B</t>
        </is>
      </c>
      <c r="G90" s="6">
        <f>IF(ISNUMBER(H90),IF(N(INDEX('_轮次'!$N$90:$Y$90,MATCH(H90,'_轮次'!$B$90:$M$90,0)))=0,"—",INDEX('_轮次'!$N$90:$Y$90,MATCH(H90,'_轮次'!$B$90:$M$90,0))),"—")</f>
        <v/>
      </c>
      <c r="H90" s="6">
        <f>IF(COUNT('_轮次'!$B$90:$M$90)=0,"待公布",IF(COUNTIF('_轮次'!$B$90:$M$90,"&gt;"&amp;'_轮次'!$A$1)&gt;0,SMALL('_轮次'!$B$90:$M$90,COUNTIF('_轮次'!$B$90:$M$90,"&lt;="&amp;'_轮次'!$A$1)+1),MAX('_轮次'!$B$90:$M$90)))</f>
        <v/>
      </c>
      <c r="I90" s="7">
        <f>IF(ISNUMBER(H90),INDEX('_轮次'!$AX$90:$BI$90,MATCH(H90,'_轮次'!$B$90:$M$90,0)),"—")</f>
        <v/>
      </c>
      <c r="J90" s="2" t="inlineStr">
        <is>
          <t>AoE</t>
        </is>
      </c>
      <c r="K90" s="6">
        <f>IF(ISNUMBER(H90),IF(N(INDEX('_轮次'!$Z$90:$AK$90,MATCH(H90,'_轮次'!$B$90:$M$90,0)))=0,"—",INDEX('_轮次'!$Z$90:$AK$90,MATCH(H90,'_轮次'!$B$90:$M$90,0))),"—")</f>
        <v/>
      </c>
      <c r="L90" s="6">
        <f>IF(ISNUMBER(H90),IF(N(INDEX('_轮次'!$AL$90:$AW$90,MATCH(H90,'_轮次'!$B$90:$M$90,0)))=0,"—",INDEX('_轮次'!$AL$90:$AW$90,MATCH(H90,'_轮次'!$B$90:$M$90,0))),"—")</f>
        <v/>
      </c>
      <c r="M90" s="2">
        <f>IF(ISNUMBER(H90),IF(H90&gt;'_轮次'!$A$1,"未截止","已截止"),"TBD")</f>
        <v/>
      </c>
      <c r="N90" s="2">
        <f>IF(ISNUMBER(H90),IF(H90&gt;'_轮次'!$A$1,INT(H90-'_轮次'!$A$1),"—"),"—")</f>
        <v/>
      </c>
      <c r="O90" s="7" t="inlineStr">
        <is>
          <t>TBD</t>
        </is>
      </c>
      <c r="P90" s="4" t="inlineStr">
        <is>
          <t>Edinburgh, Scotland</t>
        </is>
      </c>
      <c r="Q90" s="2" t="inlineStr">
        <is>
          <t>线下</t>
        </is>
      </c>
      <c r="R90" s="7" t="inlineStr">
        <is>
          <t>待确认</t>
        </is>
      </c>
      <c r="S90" s="4" t="inlineStr">
        <is>
          <t>待确认</t>
        </is>
      </c>
      <c r="T90" s="2" t="inlineStr">
        <is>
          <t>不限</t>
        </is>
      </c>
      <c r="U90" s="2" t="inlineStr">
        <is>
          <t>—</t>
        </is>
      </c>
      <c r="V90" s="4" t="inlineStr">
        <is>
          <t>CFP未发布</t>
        </is>
      </c>
      <c r="W90" s="2" t="inlineStr">
        <is>
          <t>2027CFP未发布</t>
        </is>
      </c>
      <c r="X90" s="4" t="inlineStr">
        <is>
          <t>是否到场、新人条款</t>
        </is>
      </c>
      <c r="Y90" s="7" t="inlineStr">
        <is>
          <t>https://www.icwsm.org/2027/</t>
        </is>
      </c>
      <c r="Z90" s="4" t="inlineStr">
        <is>
          <t>AAAI 主办，数据集类论文另设 track；核查:2027主页仅介绍，无投稿日期；CFP子页404；全部轮次 1st Full-paper Deadline:2026-05-16 / 2nd Full-paper Deadline:2026-09-16 / 3rd Full-paper Deadline:2027-01-16</t>
        </is>
      </c>
    </row>
    <row r="91" ht="32" customHeight="1">
      <c r="A91" s="8" t="n">
        <v>90</v>
      </c>
      <c r="B91" s="9" t="inlineStr">
        <is>
          <t>IUI</t>
        </is>
      </c>
      <c r="C91" s="10" t="inlineStr">
        <is>
          <t>ACM Conference on Intelligent User Interfaces</t>
        </is>
      </c>
      <c r="D91" s="10" t="inlineStr">
        <is>
          <t>智能用户界面会议，推荐与自适应界面、人机协同的智能交互研究</t>
        </is>
      </c>
      <c r="E91" s="8" t="inlineStr">
        <is>
          <t>人机交互与普适计算</t>
        </is>
      </c>
      <c r="F91" s="13" t="inlineStr">
        <is>
          <t>B</t>
        </is>
      </c>
      <c r="G91" s="11" t="n">
        <v>46248.83263888889</v>
      </c>
      <c r="H91" s="11" t="n">
        <v>46255.83263888889</v>
      </c>
      <c r="I91" s="12" t="inlineStr">
        <is>
          <t>单轮</t>
        </is>
      </c>
      <c r="J91" s="8" t="inlineStr">
        <is>
          <t>AoE</t>
        </is>
      </c>
      <c r="K91" s="11" t="n">
        <v>46332.83263888889</v>
      </c>
      <c r="L91" s="11" t="inlineStr">
        <is>
          <t>2026-11-23</t>
        </is>
      </c>
      <c r="M91" s="8">
        <f>IF(ISNUMBER(H91),IF(H91&gt;'_轮次'!$A$1,"未截止","已截止"),"TBD")</f>
        <v/>
      </c>
      <c r="N91" s="8">
        <f>IF(ISNUMBER(H91),IF(H91&gt;'_轮次'!$A$1,INT(H91-'_轮次'!$A$1),"—"),"—")</f>
        <v/>
      </c>
      <c r="O91" s="12" t="inlineStr">
        <is>
          <t>February 8-11, 2027</t>
        </is>
      </c>
      <c r="P91" s="10" t="inlineStr">
        <is>
          <t>Helsinki, Finland</t>
        </is>
      </c>
      <c r="Q91" s="8" t="inlineStr">
        <is>
          <t>线下</t>
        </is>
      </c>
      <c r="R91" s="12" t="inlineStr">
        <is>
          <t>必须到场</t>
        </is>
      </c>
      <c r="S91" s="10" t="inlineStr">
        <is>
          <t>待确认</t>
        </is>
      </c>
      <c r="T91" s="8" t="inlineStr">
        <is>
          <t>不限</t>
        </is>
      </c>
      <c r="U91" s="8" t="inlineStr">
        <is>
          <t>—</t>
        </is>
      </c>
      <c r="V91" s="10" t="inlineStr">
        <is>
          <t>无专属条款</t>
        </is>
      </c>
      <c r="W91" s="8" t="inlineStr">
        <is>
          <t>已核实</t>
        </is>
      </c>
      <c r="X91" s="10" t="inlineStr">
        <is>
          <t>—</t>
        </is>
      </c>
      <c r="Y91" s="12" t="inlineStr">
        <is>
          <t>https://iui.hosting.acm.org/2027/</t>
        </is>
      </c>
      <c r="Z91" s="10" t="inlineStr">
        <is>
          <t>偏 HCI，重用户研究与人机协作实验；核查:截稿2026-08-20已过；须至少一位作者注册并现场报告</t>
        </is>
      </c>
    </row>
    <row r="92" ht="32" customHeight="1">
      <c r="A92" s="2" t="n">
        <v>91</v>
      </c>
      <c r="B92" s="3" t="inlineStr">
        <is>
          <t>MobileHCI</t>
        </is>
      </c>
      <c r="C92" s="4" t="inlineStr">
        <is>
          <t>ACM International Conference on Mobile Human-Computer Interaction</t>
        </is>
      </c>
      <c r="D92" s="4" t="inlineStr">
        <is>
          <t>移动人机交互会议，移动端交互技术、情境感知与在野可用性研究</t>
        </is>
      </c>
      <c r="E92" s="2" t="inlineStr">
        <is>
          <t>人机交互与普适计算</t>
        </is>
      </c>
      <c r="F92" s="13" t="inlineStr">
        <is>
          <t>B</t>
        </is>
      </c>
      <c r="G92" s="6" t="n">
        <v>46429.83263888889</v>
      </c>
      <c r="H92" s="6" t="n">
        <v>46436.83263888889</v>
      </c>
      <c r="I92" s="7" t="inlineStr">
        <is>
          <t>单轮</t>
        </is>
      </c>
      <c r="J92" s="2" t="inlineStr">
        <is>
          <t>AoE</t>
        </is>
      </c>
      <c r="K92" s="6" t="inlineStr">
        <is>
          <t>—</t>
        </is>
      </c>
      <c r="L92" s="6" t="inlineStr">
        <is>
          <t>2027-04-15</t>
        </is>
      </c>
      <c r="M92" s="2">
        <f>IF(ISNUMBER(H92),IF(H92&gt;'_轮次'!$A$1,"未截止","已截止"),"TBD")</f>
        <v/>
      </c>
      <c r="N92" s="2">
        <f>IF(ISNUMBER(H92),IF(H92&gt;'_轮次'!$A$1,INT(H92-'_轮次'!$A$1),"—"),"—")</f>
        <v/>
      </c>
      <c r="O92" s="7" t="inlineStr">
        <is>
          <t>September 20-23, 2027</t>
        </is>
      </c>
      <c r="P92" s="4" t="inlineStr">
        <is>
          <t>Limassol, Cyprus</t>
        </is>
      </c>
      <c r="Q92" s="2" t="inlineStr">
        <is>
          <t>线下</t>
        </is>
      </c>
      <c r="R92" s="7" t="inlineStr">
        <is>
          <t>待确认</t>
        </is>
      </c>
      <c r="S92" s="4" t="inlineStr">
        <is>
          <t>待确认</t>
        </is>
      </c>
      <c r="T92" s="2" t="inlineStr">
        <is>
          <t>不限</t>
        </is>
      </c>
      <c r="U92" s="2" t="inlineStr">
        <is>
          <t>—</t>
        </is>
      </c>
      <c r="V92" s="4" t="inlineStr">
        <is>
          <t>硬性｜投稿即视为同意参与审稿</t>
        </is>
      </c>
      <c r="W92" s="2" t="inlineStr">
        <is>
          <t>已核实</t>
        </is>
      </c>
      <c r="X92" s="4" t="inlineStr">
        <is>
          <t>是否到场</t>
        </is>
      </c>
      <c r="Y92" s="7" t="inlineStr">
        <is>
          <t>https://mobilehci.acm.org/2027/</t>
        </is>
      </c>
      <c r="Z92" s="4" t="inlineStr">
        <is>
          <t>与 MobileHCI 系列同源的 SIGCHI 会议；核查:摘要2027-02-10；仅要求至少一位作者全额注册，最终通知06-17</t>
        </is>
      </c>
    </row>
    <row r="93" ht="32" customHeight="1">
      <c r="A93" s="8" t="n">
        <v>92</v>
      </c>
      <c r="B93" s="9" t="inlineStr">
        <is>
          <t>PerCom</t>
        </is>
      </c>
      <c r="C93" s="10" t="inlineStr">
        <is>
          <t>IEEE International Conference on Pervasive Computing and Communications</t>
        </is>
      </c>
      <c r="D93" s="10" t="inlineStr">
        <is>
          <t>普适计算与通信会议，感知、边缘计算、可穿戴与移动系统研究</t>
        </is>
      </c>
      <c r="E93" s="8" t="inlineStr">
        <is>
          <t>人机交互与普适计算</t>
        </is>
      </c>
      <c r="F93" s="13" t="inlineStr">
        <is>
          <t>B</t>
        </is>
      </c>
      <c r="G93" s="11" t="n">
        <v>46277.83263888889</v>
      </c>
      <c r="H93" s="11" t="n">
        <v>46284.83263888889</v>
      </c>
      <c r="I93" s="12" t="inlineStr">
        <is>
          <t>Extended deadlines</t>
        </is>
      </c>
      <c r="J93" s="8" t="inlineStr">
        <is>
          <t>AoE</t>
        </is>
      </c>
      <c r="K93" s="11" t="n">
        <v>46354.83263888889</v>
      </c>
      <c r="L93" s="11" t="inlineStr">
        <is>
          <t>2026-12-18</t>
        </is>
      </c>
      <c r="M93" s="8">
        <f>IF(ISNUMBER(H93),IF(H93&gt;'_轮次'!$A$1,"未截止","已截止"),"TBD")</f>
        <v/>
      </c>
      <c r="N93" s="8">
        <f>IF(ISNUMBER(H93),IF(H93&gt;'_轮次'!$A$1,INT(H93-'_轮次'!$A$1),"—"),"—")</f>
        <v/>
      </c>
      <c r="O93" s="12" t="inlineStr">
        <is>
          <t>March 8-12, 2027</t>
        </is>
      </c>
      <c r="P93" s="10" t="inlineStr">
        <is>
          <t>Goa, India</t>
        </is>
      </c>
      <c r="Q93" s="8" t="inlineStr">
        <is>
          <t>线下</t>
        </is>
      </c>
      <c r="R93" s="12" t="inlineStr">
        <is>
          <t>必须到场</t>
        </is>
      </c>
      <c r="S93" s="10" t="inlineStr">
        <is>
          <t>仅签证/健康等特殊情形例外</t>
        </is>
      </c>
      <c r="T93" s="8" t="inlineStr">
        <is>
          <t>不限</t>
        </is>
      </c>
      <c r="U93" s="8" t="inlineStr">
        <is>
          <t>—</t>
        </is>
      </c>
      <c r="V93" s="10" t="inlineStr">
        <is>
          <t>无专属条款</t>
        </is>
      </c>
      <c r="W93" s="8" t="inlineStr">
        <is>
          <t>已核实</t>
        </is>
      </c>
      <c r="X93" s="10" t="inlineStr">
        <is>
          <t>—</t>
        </is>
      </c>
      <c r="Y93" s="12" t="inlineStr">
        <is>
          <t>https://percom.org/</t>
        </is>
      </c>
      <c r="Z93" s="10" t="inlineStr">
        <is>
          <t>IEEE 主办，含 workshop 与 demo；核查:截稿由9/11延至9/18 AoE；禁远程与预录视频</t>
        </is>
      </c>
    </row>
    <row r="94" ht="32" customHeight="1">
      <c r="A94" s="2" t="n">
        <v>93</v>
      </c>
      <c r="B94" s="3" t="inlineStr">
        <is>
          <t>ISMB</t>
        </is>
      </c>
      <c r="C94" s="4" t="inlineStr">
        <is>
          <t>International Conference on Intelligent Systems for Molecular Biology</t>
        </is>
      </c>
      <c r="D94" s="4" t="inlineStr">
        <is>
          <t>计算生物学与生物信息学旗舰会，序列分析、结构与系统生物学方法</t>
        </is>
      </c>
      <c r="E94" s="2" t="inlineStr">
        <is>
          <t>交叉/综合/新兴</t>
        </is>
      </c>
      <c r="F94" s="13" t="inlineStr">
        <is>
          <t>B</t>
        </is>
      </c>
      <c r="G94" s="6" t="inlineStr">
        <is>
          <t>—</t>
        </is>
      </c>
      <c r="H94" s="6" t="n">
        <v>46402.83263888889</v>
      </c>
      <c r="I94" s="7" t="inlineStr">
        <is>
          <t>Proceedings; conditional acceptance: March 2, 2027; revised papers due: March 18, 2027, 23:59 AoE; no extensions to submission or revision deadlines</t>
        </is>
      </c>
      <c r="J94" s="2" t="inlineStr">
        <is>
          <t>AoE</t>
        </is>
      </c>
      <c r="K94" s="6" t="inlineStr">
        <is>
          <t>—</t>
        </is>
      </c>
      <c r="L94" s="6" t="n">
        <v>46477.83263888889</v>
      </c>
      <c r="M94" s="2">
        <f>IF(ISNUMBER(H94),IF(H94&gt;'_轮次'!$A$1,"未截止","已截止"),"TBD")</f>
        <v/>
      </c>
      <c r="N94" s="2">
        <f>IF(ISNUMBER(H94),IF(H94&gt;'_轮次'!$A$1,INT(H94-'_轮次'!$A$1),"—"),"—")</f>
        <v/>
      </c>
      <c r="O94" s="7" t="inlineStr">
        <is>
          <t>July 18-22, 2027</t>
        </is>
      </c>
      <c r="P94" s="4" t="inlineStr">
        <is>
          <t>Copenhagen, Denmark</t>
        </is>
      </c>
      <c r="Q94" s="2" t="inlineStr">
        <is>
          <t>线下</t>
        </is>
      </c>
      <c r="R94" s="7" t="inlineStr">
        <is>
          <t>必须到场</t>
        </is>
      </c>
      <c r="S94" s="4" t="inlineStr">
        <is>
          <t>提供线上参会</t>
        </is>
      </c>
      <c r="T94" s="2" t="inlineStr">
        <is>
          <t>不限</t>
        </is>
      </c>
      <c r="U94" s="2" t="inlineStr">
        <is>
          <t>—</t>
        </is>
      </c>
      <c r="V94" s="4" t="inlineStr">
        <is>
          <t>CFP未发布</t>
        </is>
      </c>
      <c r="W94" s="2" t="inlineStr">
        <is>
          <t>2027CFP未发布</t>
        </is>
      </c>
      <c r="X94" s="4" t="inlineStr">
        <is>
          <t>新人条款</t>
        </is>
      </c>
      <c r="Y94" s="7" t="inlineStr">
        <is>
          <t>https://www.iscb.org/ismbeccb2027/</t>
        </is>
      </c>
      <c r="Z94" s="4" t="inlineStr">
        <is>
          <t>Proceedings 刊于 Bioinformatics；核查:Key Dates页栏目为空；官网称线下+线上双轨</t>
        </is>
      </c>
    </row>
    <row r="95" ht="32" customHeight="1">
      <c r="A95" s="8" t="n">
        <v>94</v>
      </c>
      <c r="B95" s="9" t="inlineStr">
        <is>
          <t>MICCAI</t>
        </is>
      </c>
      <c r="C95" s="10" t="inlineStr">
        <is>
          <t>International Conference on Medical Image Computing and Computer Assisted Intervention</t>
        </is>
      </c>
      <c r="D95" s="10" t="inlineStr">
        <is>
          <t>医学影像计算与辅助介入顶会，分割配准与临床落地</t>
        </is>
      </c>
      <c r="E95" s="8" t="inlineStr">
        <is>
          <t>交叉/综合/新兴</t>
        </is>
      </c>
      <c r="F95" s="13" t="inlineStr">
        <is>
          <t>B</t>
        </is>
      </c>
      <c r="G95" s="11" t="inlineStr">
        <is>
          <t>—</t>
        </is>
      </c>
      <c r="H95" s="11" t="inlineStr">
        <is>
          <t>待公布</t>
        </is>
      </c>
      <c r="I95" s="12" t="inlineStr">
        <is>
          <t>—</t>
        </is>
      </c>
      <c r="J95" s="8" t="inlineStr">
        <is>
          <t>UTC-8</t>
        </is>
      </c>
      <c r="K95" s="11" t="inlineStr">
        <is>
          <t>—</t>
        </is>
      </c>
      <c r="L95" s="11" t="inlineStr">
        <is>
          <t>待公布</t>
        </is>
      </c>
      <c r="M95" s="8">
        <f>IF(ISNUMBER(H95),IF(H95&gt;'_轮次'!$A$1,"未截止","已截止"),"TBD")</f>
        <v/>
      </c>
      <c r="N95" s="8">
        <f>IF(ISNUMBER(H95),IF(H95&gt;'_轮次'!$A$1,INT(H95-'_轮次'!$A$1),"—"),"—")</f>
        <v/>
      </c>
      <c r="O95" s="12" t="inlineStr">
        <is>
          <t>September 26 - October 1, 2027</t>
        </is>
      </c>
      <c r="P95" s="10" t="inlineStr">
        <is>
          <t>Auckland, New Zealand</t>
        </is>
      </c>
      <c r="Q95" s="8" t="inlineStr">
        <is>
          <t>线下</t>
        </is>
      </c>
      <c r="R95" s="12" t="inlineStr">
        <is>
          <t>必须到场</t>
        </is>
      </c>
      <c r="S95" s="10" t="inlineStr">
        <is>
          <t>待确认</t>
        </is>
      </c>
      <c r="T95" s="8" t="inlineStr">
        <is>
          <t>不限</t>
        </is>
      </c>
      <c r="U95" s="8" t="inlineStr">
        <is>
          <t>—</t>
        </is>
      </c>
      <c r="V95" s="10" t="inlineStr">
        <is>
          <t>CFP未发布</t>
        </is>
      </c>
      <c r="W95" s="8" t="inlineStr">
        <is>
          <t>2027CFP未发布</t>
        </is>
      </c>
      <c r="X95" s="10" t="inlineStr">
        <is>
          <t>截稿日、新人条款</t>
        </is>
      </c>
      <c r="Y95" s="12" t="inlineStr">
        <is>
          <t>https://conferences.miccai.org/2027/en/</t>
        </is>
      </c>
      <c r="Z95" s="10" t="inlineStr">
        <is>
          <t>Springer LNCS 出版，另设 challenges；核查:仅公布会期9/27-10/1，CFP页404未上线</t>
        </is>
      </c>
    </row>
    <row r="96" ht="32" customHeight="1">
      <c r="A96" s="2" t="n">
        <v>95</v>
      </c>
      <c r="B96" s="3" t="inlineStr">
        <is>
          <t>RECOMB</t>
        </is>
      </c>
      <c r="C96" s="4" t="inlineStr">
        <is>
          <t>International Conference on Research inComputational Molecular Biology</t>
        </is>
      </c>
      <c r="D96" s="4" t="inlineStr">
        <is>
          <t>计算分子生物学会议，基因组算法、序列比对与组合生物学方法</t>
        </is>
      </c>
      <c r="E96" s="2" t="inlineStr">
        <is>
          <t>交叉/综合/新兴</t>
        </is>
      </c>
      <c r="F96" s="13" t="inlineStr">
        <is>
          <t>B</t>
        </is>
      </c>
      <c r="G96" s="6" t="n">
        <v>46324.83263888889</v>
      </c>
      <c r="H96" s="6" t="n">
        <v>46331.83263888889</v>
      </c>
      <c r="I96" s="7" t="inlineStr">
        <is>
          <t>单轮</t>
        </is>
      </c>
      <c r="J96" s="2" t="inlineStr">
        <is>
          <t>AoE</t>
        </is>
      </c>
      <c r="K96" s="6" t="inlineStr">
        <is>
          <t>—</t>
        </is>
      </c>
      <c r="L96" s="6" t="n">
        <v>46379.83263888889</v>
      </c>
      <c r="M96" s="2">
        <f>IF(ISNUMBER(H96),IF(H96&gt;'_轮次'!$A$1,"未截止","已截止"),"TBD")</f>
        <v/>
      </c>
      <c r="N96" s="2">
        <f>IF(ISNUMBER(H96),IF(H96&gt;'_轮次'!$A$1,INT(H96-'_轮次'!$A$1),"—"),"—")</f>
        <v/>
      </c>
      <c r="O96" s="7" t="inlineStr">
        <is>
          <t>May 17-20, 2027</t>
        </is>
      </c>
      <c r="P96" s="4" t="inlineStr">
        <is>
          <t>Toronto, Canada</t>
        </is>
      </c>
      <c r="Q96" s="2" t="inlineStr">
        <is>
          <t>线下</t>
        </is>
      </c>
      <c r="R96" s="7" t="inlineStr">
        <is>
          <t>待确认</t>
        </is>
      </c>
      <c r="S96" s="4" t="inlineStr">
        <is>
          <t>待确认</t>
        </is>
      </c>
      <c r="T96" s="2" t="inlineStr">
        <is>
          <t>不限</t>
        </is>
      </c>
      <c r="U96" s="2" t="inlineStr">
        <is>
          <t>—</t>
        </is>
      </c>
      <c r="V96" s="4" t="inlineStr">
        <is>
          <t>CFP未发布</t>
        </is>
      </c>
      <c r="W96" s="2" t="inlineStr">
        <is>
          <t>2027CFP未发布</t>
        </is>
      </c>
      <c r="X96" s="4" t="inlineStr">
        <is>
          <t>是否到场、新人条款</t>
        </is>
      </c>
      <c r="Y96" s="7" t="inlineStr">
        <is>
          <t>https://recomb.org/recomb2027/</t>
        </is>
      </c>
      <c r="Z96" s="4" t="inlineStr">
        <is>
          <t>论文常刊于 JCB 或 LNBI，会议另有摘要 track；核查:仅见会期2027-05-17至20，截稿未公布</t>
        </is>
      </c>
    </row>
    <row r="97" ht="32" customHeight="1">
      <c r="A97" s="8" t="n">
        <v>96</v>
      </c>
      <c r="B97" s="9" t="inlineStr">
        <is>
          <t>CoNEXT</t>
        </is>
      </c>
      <c r="C97" s="10" t="inlineStr">
        <is>
          <t>International Conference on Emerging Networking Experiments and Technologies</t>
        </is>
      </c>
      <c r="D97" s="10" t="inlineStr">
        <is>
          <t>新兴网络实验与技术会议，网络架构、可编程数据平面与测量实证</t>
        </is>
      </c>
      <c r="E97" s="8" t="inlineStr">
        <is>
          <t>计算机网络</t>
        </is>
      </c>
      <c r="F97" s="13" t="inlineStr">
        <is>
          <t>B</t>
        </is>
      </c>
      <c r="G97" s="11">
        <f>IF(ISNUMBER(H97),IF(N(INDEX('_轮次'!$N$97:$Y$97,MATCH(H97,'_轮次'!$B$97:$M$97,0)))=0,"—",INDEX('_轮次'!$N$97:$Y$97,MATCH(H97,'_轮次'!$B$97:$M$97,0))),"—")</f>
        <v/>
      </c>
      <c r="H97" s="11">
        <f>IF(COUNT('_轮次'!$B$97:$M$97)=0,"待公布",IF(COUNTIF('_轮次'!$B$97:$M$97,"&gt;"&amp;'_轮次'!$A$1)&gt;0,SMALL('_轮次'!$B$97:$M$97,COUNTIF('_轮次'!$B$97:$M$97,"&lt;="&amp;'_轮次'!$A$1)+1),MAX('_轮次'!$B$97:$M$97)))</f>
        <v/>
      </c>
      <c r="I97" s="12">
        <f>IF(ISNUMBER(H97),INDEX('_轮次'!$AX$97:$BI$97,MATCH(H97,'_轮次'!$B$97:$M$97,0)),"—")</f>
        <v/>
      </c>
      <c r="J97" s="8" t="inlineStr">
        <is>
          <t>AoE</t>
        </is>
      </c>
      <c r="K97" s="11">
        <f>IF(ISNUMBER(H97),IF(N(INDEX('_轮次'!$Z$97:$AK$97,MATCH(H97,'_轮次'!$B$97:$M$97,0)))=0,"—",INDEX('_轮次'!$Z$97:$AK$97,MATCH(H97,'_轮次'!$B$97:$M$97,0))),"—")</f>
        <v/>
      </c>
      <c r="L97" s="11">
        <f>IF(ISNUMBER(H97),IF(N(INDEX('_轮次'!$AL$97:$AW$97,MATCH(H97,'_轮次'!$B$97:$M$97,0)))=0,"—",INDEX('_轮次'!$AL$97:$AW$97,MATCH(H97,'_轮次'!$B$97:$M$97,0))),"—")</f>
        <v/>
      </c>
      <c r="M97" s="8">
        <f>IF(ISNUMBER(H97),IF(H97&gt;'_轮次'!$A$1,"未截止","已截止"),"TBD")</f>
        <v/>
      </c>
      <c r="N97" s="8">
        <f>IF(ISNUMBER(H97),IF(H97&gt;'_轮次'!$A$1,INT(H97-'_轮次'!$A$1),"—"),"—")</f>
        <v/>
      </c>
      <c r="O97" s="12" t="inlineStr">
        <is>
          <t>December 6-9, 2027 (To be confirmed)</t>
        </is>
      </c>
      <c r="P97" s="10" t="inlineStr">
        <is>
          <t>Rio de Janeiro, Brazil</t>
        </is>
      </c>
      <c r="Q97" s="8" t="inlineStr">
        <is>
          <t>线下</t>
        </is>
      </c>
      <c r="R97" s="12" t="inlineStr">
        <is>
          <t>必须到场</t>
        </is>
      </c>
      <c r="S97" s="10" t="inlineStr">
        <is>
          <t>待确认</t>
        </is>
      </c>
      <c r="T97" s="8" t="inlineStr">
        <is>
          <t>不限</t>
        </is>
      </c>
      <c r="U97" s="8" t="inlineStr">
        <is>
          <t>—</t>
        </is>
      </c>
      <c r="V97" s="10" t="inlineStr">
        <is>
          <t>无专属条款</t>
        </is>
      </c>
      <c r="W97" s="8" t="inlineStr">
        <is>
          <t>已核实</t>
        </is>
      </c>
      <c r="X97" s="10" t="inlineStr">
        <is>
          <t>—</t>
        </is>
      </c>
      <c r="Y97" s="12" t="inlineStr">
        <is>
          <t>https://conferences.sigcomm.org/co-next/2027/#!/home</t>
        </is>
      </c>
      <c r="Z97" s="10" t="inlineStr">
        <is>
          <t>核查:两轮截稿(12/4、2027-06-04)；未提现场要求；全部轮次 December Cycle:2026-12-05 / June Cycle:2027-06-05</t>
        </is>
      </c>
    </row>
    <row r="98" ht="32" customHeight="1">
      <c r="A98" s="2" t="n">
        <v>97</v>
      </c>
      <c r="B98" s="3" t="inlineStr">
        <is>
          <t>IMC</t>
        </is>
      </c>
      <c r="C98" s="4" t="inlineStr">
        <is>
          <t>ACM Internet Measurement Conference</t>
        </is>
      </c>
      <c r="D98" s="4" t="inlineStr">
        <is>
          <t>互联网测量会议，测量方法、流量分析、基础设施与隐私实证研究</t>
        </is>
      </c>
      <c r="E98" s="2" t="inlineStr">
        <is>
          <t>计算机网络</t>
        </is>
      </c>
      <c r="F98" s="13" t="inlineStr">
        <is>
          <t>B</t>
        </is>
      </c>
      <c r="G98" s="6">
        <f>IF(ISNUMBER(H98),IF(N(INDEX('_轮次'!$N$98:$Y$98,MATCH(H98,'_轮次'!$B$98:$M$98,0)))=0,"—",INDEX('_轮次'!$N$98:$Y$98,MATCH(H98,'_轮次'!$B$98:$M$98,0))),"—")</f>
        <v/>
      </c>
      <c r="H98" s="6">
        <f>IF(COUNT('_轮次'!$B$98:$M$98)=0,"待公布",IF(COUNTIF('_轮次'!$B$98:$M$98,"&gt;"&amp;'_轮次'!$A$1)&gt;0,SMALL('_轮次'!$B$98:$M$98,COUNTIF('_轮次'!$B$98:$M$98,"&lt;="&amp;'_轮次'!$A$1)+1),MAX('_轮次'!$B$98:$M$98)))</f>
        <v/>
      </c>
      <c r="I98" s="7">
        <f>IF(ISNUMBER(H98),INDEX('_轮次'!$AX$98:$BI$98,MATCH(H98,'_轮次'!$B$98:$M$98,0)),"—")</f>
        <v/>
      </c>
      <c r="J98" s="2" t="inlineStr">
        <is>
          <t>AoE</t>
        </is>
      </c>
      <c r="K98" s="6">
        <f>IF(ISNUMBER(H98),IF(N(INDEX('_轮次'!$Z$98:$AK$98,MATCH(H98,'_轮次'!$B$98:$M$98,0)))=0,"—",INDEX('_轮次'!$Z$98:$AK$98,MATCH(H98,'_轮次'!$B$98:$M$98,0))),"—")</f>
        <v/>
      </c>
      <c r="L98" s="6">
        <f>IF(ISNUMBER(H98),IF(N(INDEX('_轮次'!$AL$98:$AW$98,MATCH(H98,'_轮次'!$B$98:$M$98,0)))=0,"—",INDEX('_轮次'!$AL$98:$AW$98,MATCH(H98,'_轮次'!$B$98:$M$98,0))),"—")</f>
        <v/>
      </c>
      <c r="M98" s="2">
        <f>IF(ISNUMBER(H98),IF(H98&gt;'_轮次'!$A$1,"未截止","已截止"),"TBD")</f>
        <v/>
      </c>
      <c r="N98" s="2">
        <f>IF(ISNUMBER(H98),IF(H98&gt;'_轮次'!$A$1,INT(H98-'_轮次'!$A$1),"—"),"—")</f>
        <v/>
      </c>
      <c r="O98" s="7" t="inlineStr">
        <is>
          <t>Oct 25-29, 2027</t>
        </is>
      </c>
      <c r="P98" s="4" t="inlineStr">
        <is>
          <t>Atlanta, GA, USA</t>
        </is>
      </c>
      <c r="Q98" s="2" t="inlineStr">
        <is>
          <t>线下</t>
        </is>
      </c>
      <c r="R98" s="7" t="inlineStr">
        <is>
          <t>必须到场</t>
        </is>
      </c>
      <c r="S98" s="4" t="inlineStr">
        <is>
          <t>待确认</t>
        </is>
      </c>
      <c r="T98" s="2" t="inlineStr">
        <is>
          <t>不限</t>
        </is>
      </c>
      <c r="U98" s="2" t="inlineStr">
        <is>
          <t>—</t>
        </is>
      </c>
      <c r="V98" s="4" t="inlineStr">
        <is>
          <t>利好｜通道 最佳学生论文奖（限学生一作）</t>
        </is>
      </c>
      <c r="W98" s="2" t="inlineStr">
        <is>
          <t>已核实</t>
        </is>
      </c>
      <c r="X98" s="4" t="inlineStr">
        <is>
          <t>—</t>
        </is>
      </c>
      <c r="Y98" s="7" t="inlineStr">
        <is>
          <t>https://conferences.sigcomm.org/imc/2027/</t>
        </is>
      </c>
      <c r="Z98" s="4" t="inlineStr">
        <is>
          <t>偏实测数据，鼓励公开数据集与代码；核查:两轮截稿(11/17、2027-04-07)；未提现场要求；全部轮次 Cycle 1; rebuttal period January 26-February 2, 2027:2026-11-18 / Cycle 2:2027-04-08</t>
        </is>
      </c>
    </row>
    <row r="99" ht="32" customHeight="1">
      <c r="A99" s="8" t="n">
        <v>98</v>
      </c>
      <c r="B99" s="9" t="inlineStr">
        <is>
          <t>MobiSys</t>
        </is>
      </c>
      <c r="C99" s="10" t="inlineStr">
        <is>
          <t>ACM International Conference on Mobile Systems, Applications, and Services</t>
        </is>
      </c>
      <c r="D99" s="10" t="inlineStr">
        <is>
          <t>移动系统会议，移动端操作系统与应用，强调真实部署</t>
        </is>
      </c>
      <c r="E99" s="8" t="inlineStr">
        <is>
          <t>计算机网络</t>
        </is>
      </c>
      <c r="F99" s="13" t="inlineStr">
        <is>
          <t>B</t>
        </is>
      </c>
      <c r="G99" s="11" t="n">
        <v>46354.83263888889</v>
      </c>
      <c r="H99" s="11" t="n">
        <v>46361.83263888889</v>
      </c>
      <c r="I99" s="12" t="inlineStr">
        <is>
          <t>单轮</t>
        </is>
      </c>
      <c r="J99" s="8" t="inlineStr">
        <is>
          <t>AoE</t>
        </is>
      </c>
      <c r="K99" s="11" t="n">
        <v>46431.83263888889</v>
      </c>
      <c r="L99" s="11" t="inlineStr">
        <is>
          <t>2027-03-06</t>
        </is>
      </c>
      <c r="M99" s="8">
        <f>IF(ISNUMBER(H99),IF(H99&gt;'_轮次'!$A$1,"未截止","已截止"),"TBD")</f>
        <v/>
      </c>
      <c r="N99" s="8">
        <f>IF(ISNUMBER(H99),IF(H99&gt;'_轮次'!$A$1,INT(H99-'_轮次'!$A$1),"—"),"—")</f>
        <v/>
      </c>
      <c r="O99" s="12" t="inlineStr">
        <is>
          <t>June 21-25, 2027</t>
        </is>
      </c>
      <c r="P99" s="10" t="inlineStr">
        <is>
          <t>Ho Chi Minh City, Vietnam</t>
        </is>
      </c>
      <c r="Q99" s="8" t="inlineStr">
        <is>
          <t>线下</t>
        </is>
      </c>
      <c r="R99" s="12" t="inlineStr">
        <is>
          <t>必须到场</t>
        </is>
      </c>
      <c r="S99" s="10" t="inlineStr">
        <is>
          <t>待确认</t>
        </is>
      </c>
      <c r="T99" s="8" t="inlineStr">
        <is>
          <t>不限</t>
        </is>
      </c>
      <c r="U99" s="8" t="inlineStr">
        <is>
          <t>—</t>
        </is>
      </c>
      <c r="V99" s="10" t="inlineStr">
        <is>
          <t>利好｜须1位作者以非学生费率注册</t>
        </is>
      </c>
      <c r="W99" s="8" t="inlineStr">
        <is>
          <t>已核实</t>
        </is>
      </c>
      <c r="X99" s="10" t="inlineStr">
        <is>
          <t>—</t>
        </is>
      </c>
      <c r="Y99" s="12" t="inlineStr">
        <is>
          <t>https://www.sigmobile.org/mobisys/2027/</t>
        </is>
      </c>
      <c r="Z99" s="10" t="inlineStr">
        <is>
          <t>重视原型系统与在野实测；核查:须至少一位作者按非学生费率注册并现场报告</t>
        </is>
      </c>
    </row>
    <row r="100" ht="32" customHeight="1">
      <c r="A100" s="2" t="n">
        <v>99</v>
      </c>
      <c r="B100" s="3" t="inlineStr">
        <is>
          <t>NOSSDAV</t>
        </is>
      </c>
      <c r="C100" s="4" t="inlineStr">
        <is>
          <t>International Workshop on Network and Operating System Support for Digital Audio and Video</t>
        </is>
      </c>
      <c r="D100" s="4" t="inlineStr">
        <is>
          <t>音视频网络与系统支持研讨会，流媒体与低延迟传输</t>
        </is>
      </c>
      <c r="E100" s="2" t="inlineStr">
        <is>
          <t>计算机网络</t>
        </is>
      </c>
      <c r="F100" s="13" t="inlineStr">
        <is>
          <t>B</t>
        </is>
      </c>
      <c r="G100" s="6" t="inlineStr">
        <is>
          <t>—</t>
        </is>
      </c>
      <c r="H100" s="6" t="n">
        <v>46399.83263888889</v>
      </c>
      <c r="I100" s="7" t="inlineStr">
        <is>
          <t>单轮</t>
        </is>
      </c>
      <c r="J100" s="2" t="inlineStr">
        <is>
          <t>AoE</t>
        </is>
      </c>
      <c r="K100" s="6" t="inlineStr">
        <is>
          <t>—</t>
        </is>
      </c>
      <c r="L100" s="6" t="inlineStr">
        <is>
          <t>2027-02-01</t>
        </is>
      </c>
      <c r="M100" s="2">
        <f>IF(ISNUMBER(H100),IF(H100&gt;'_轮次'!$A$1,"未截止","已截止"),"TBD")</f>
        <v/>
      </c>
      <c r="N100" s="2">
        <f>IF(ISNUMBER(H100),IF(H100&gt;'_轮次'!$A$1,INT(H100-'_轮次'!$A$1),"—"),"—")</f>
        <v/>
      </c>
      <c r="O100" s="7" t="inlineStr">
        <is>
          <t>TBD</t>
        </is>
      </c>
      <c r="P100" s="4" t="inlineStr">
        <is>
          <t>Ghent, Belgium</t>
        </is>
      </c>
      <c r="Q100" s="2" t="inlineStr">
        <is>
          <t>线下</t>
        </is>
      </c>
      <c r="R100" s="7" t="inlineStr">
        <is>
          <t>待确认</t>
        </is>
      </c>
      <c r="S100" s="4" t="inlineStr">
        <is>
          <t>待确认</t>
        </is>
      </c>
      <c r="T100" s="2" t="inlineStr">
        <is>
          <t>不限</t>
        </is>
      </c>
      <c r="U100" s="2" t="inlineStr">
        <is>
          <t>—</t>
        </is>
      </c>
      <c r="V100" s="4" t="inlineStr">
        <is>
          <t>无专属条款</t>
        </is>
      </c>
      <c r="W100" s="2" t="inlineStr">
        <is>
          <t>已核实</t>
        </is>
      </c>
      <c r="X100" s="4" t="inlineStr">
        <is>
          <t>是否到场</t>
        </is>
      </c>
      <c r="Y100" s="7" t="inlineStr">
        <is>
          <t>https://nossdav.org/</t>
        </is>
      </c>
      <c r="Z100" s="4" t="inlineStr">
        <is>
          <t>workshop 规模小，接收短文；核查:单轨工作坊；截稿日原文未标年份</t>
        </is>
      </c>
    </row>
    <row r="101" ht="32" customHeight="1">
      <c r="A101" s="8" t="n">
        <v>100</v>
      </c>
      <c r="B101" s="9" t="inlineStr">
        <is>
          <t>SECON</t>
        </is>
      </c>
      <c r="C101" s="10" t="inlineStr">
        <is>
          <t>IEEE International Conference on Sensing, Communication, and Networking</t>
        </is>
      </c>
      <c r="D101" s="10" t="inlineStr">
        <is>
          <t>感知、通信与网络会议，无线传感网、物联网与移动边缘计算</t>
        </is>
      </c>
      <c r="E101" s="8" t="inlineStr">
        <is>
          <t>计算机网络</t>
        </is>
      </c>
      <c r="F101" s="13" t="inlineStr">
        <is>
          <t>B</t>
        </is>
      </c>
      <c r="G101" s="11" t="inlineStr">
        <is>
          <t>—</t>
        </is>
      </c>
      <c r="H101" s="11" t="n">
        <v>46357.54097222222</v>
      </c>
      <c r="I101" s="12" t="inlineStr">
        <is>
          <t>单轮</t>
        </is>
      </c>
      <c r="J101" s="8" t="inlineStr">
        <is>
          <t>UTC-5</t>
        </is>
      </c>
      <c r="K101" s="11" t="inlineStr">
        <is>
          <t>—</t>
        </is>
      </c>
      <c r="L101" s="11" t="inlineStr">
        <is>
          <t>2027-02-15</t>
        </is>
      </c>
      <c r="M101" s="8">
        <f>IF(ISNUMBER(H101),IF(H101&gt;'_轮次'!$A$1,"未截止","已截止"),"TBD")</f>
        <v/>
      </c>
      <c r="N101" s="8">
        <f>IF(ISNUMBER(H101),IF(H101&gt;'_轮次'!$A$1,INT(H101-'_轮次'!$A$1),"—"),"—")</f>
        <v/>
      </c>
      <c r="O101" s="12" t="inlineStr">
        <is>
          <t>May 5-7, 2027</t>
        </is>
      </c>
      <c r="P101" s="10" t="inlineStr">
        <is>
          <t>Lisbon, Portugal</t>
        </is>
      </c>
      <c r="Q101" s="8" t="inlineStr">
        <is>
          <t>线下</t>
        </is>
      </c>
      <c r="R101" s="12" t="inlineStr">
        <is>
          <t>必须到场</t>
        </is>
      </c>
      <c r="S101" s="10" t="inlineStr">
        <is>
          <t>线下实体会议，无线上</t>
        </is>
      </c>
      <c r="T101" s="8" t="inlineStr">
        <is>
          <t>不限</t>
        </is>
      </c>
      <c r="U101" s="8" t="inlineStr">
        <is>
          <t>—</t>
        </is>
      </c>
      <c r="V101" s="10" t="inlineStr">
        <is>
          <t>未找到</t>
        </is>
      </c>
      <c r="W101" s="8" t="inlineStr">
        <is>
          <t>已核实</t>
        </is>
      </c>
      <c r="X101" s="10" t="inlineStr">
        <is>
          <t>新人条款</t>
        </is>
      </c>
      <c r="Y101" s="12" t="inlineStr">
        <is>
          <t>https://secon2027.ieee-secon.org/</t>
        </is>
      </c>
      <c r="Z101" s="10" t="inlineStr">
        <is>
          <t>IEEE 主办，偏无线与物联网实证；核查:会期2027-05-05至07，官网称实体线下会议</t>
        </is>
      </c>
    </row>
    <row r="102" ht="32" customHeight="1">
      <c r="A102" s="2" t="n">
        <v>101</v>
      </c>
      <c r="B102" s="3" t="inlineStr">
        <is>
          <t>SenSys</t>
        </is>
      </c>
      <c r="C102" s="4" t="inlineStr">
        <is>
          <t>ACM Conference on Embedded Networked Sensor Systems</t>
        </is>
      </c>
      <c r="D102" s="4" t="inlineStr">
        <is>
          <t>嵌入式网络传感系统会议，物联网与传感网系统实现与部署实测</t>
        </is>
      </c>
      <c r="E102" s="2" t="inlineStr">
        <is>
          <t>计算机网络</t>
        </is>
      </c>
      <c r="F102" s="13" t="inlineStr">
        <is>
          <t>B</t>
        </is>
      </c>
      <c r="G102" s="6">
        <f>IF(ISNUMBER(H102),IF(N(INDEX('_轮次'!$N$102:$Y$102,MATCH(H102,'_轮次'!$B$102:$M$102,0)))=0,"—",INDEX('_轮次'!$N$102:$Y$102,MATCH(H102,'_轮次'!$B$102:$M$102,0))),"—")</f>
        <v/>
      </c>
      <c r="H102" s="6">
        <f>IF(COUNT('_轮次'!$B$102:$M$102)=0,"待公布",IF(COUNTIF('_轮次'!$B$102:$M$102,"&gt;"&amp;'_轮次'!$A$1)&gt;0,SMALL('_轮次'!$B$102:$M$102,COUNTIF('_轮次'!$B$102:$M$102,"&lt;="&amp;'_轮次'!$A$1)+1),MAX('_轮次'!$B$102:$M$102)))</f>
        <v/>
      </c>
      <c r="I102" s="7">
        <f>IF(ISNUMBER(H102),INDEX('_轮次'!$AX$102:$BI$102,MATCH(H102,'_轮次'!$B$102:$M$102,0)),"—")</f>
        <v/>
      </c>
      <c r="J102" s="2" t="inlineStr">
        <is>
          <t>AoE</t>
        </is>
      </c>
      <c r="K102" s="6">
        <f>IF(ISNUMBER(H102),IF(N(INDEX('_轮次'!$Z$102:$AK$102,MATCH(H102,'_轮次'!$B$102:$M$102,0)))=0,"—",INDEX('_轮次'!$Z$102:$AK$102,MATCH(H102,'_轮次'!$B$102:$M$102,0))),"—")</f>
        <v/>
      </c>
      <c r="L102" s="6">
        <f>IF(ISNUMBER(H102),IF(N(INDEX('_轮次'!$AL$102:$AW$102,MATCH(H102,'_轮次'!$B$102:$M$102,0)))=0,"—",INDEX('_轮次'!$AL$102:$AW$102,MATCH(H102,'_轮次'!$B$102:$M$102,0))),"—")</f>
        <v/>
      </c>
      <c r="M102" s="2">
        <f>IF(ISNUMBER(H102),IF(H102&gt;'_轮次'!$A$1,"未截止","已截止"),"TBD")</f>
        <v/>
      </c>
      <c r="N102" s="2">
        <f>IF(ISNUMBER(H102),IF(H102&gt;'_轮次'!$A$1,INT(H102-'_轮次'!$A$1),"—"),"—")</f>
        <v/>
      </c>
      <c r="O102" s="7" t="inlineStr">
        <is>
          <t>May 17-20, 2027</t>
        </is>
      </c>
      <c r="P102" s="4" t="inlineStr">
        <is>
          <t>Boulder, CO, USA</t>
        </is>
      </c>
      <c r="Q102" s="2" t="inlineStr">
        <is>
          <t>线下</t>
        </is>
      </c>
      <c r="R102" s="7" t="inlineStr">
        <is>
          <t>必须到场</t>
        </is>
      </c>
      <c r="S102" s="4" t="inlineStr">
        <is>
          <t>待确认</t>
        </is>
      </c>
      <c r="T102" s="2" t="inlineStr">
        <is>
          <t>不限</t>
        </is>
      </c>
      <c r="U102" s="2" t="inlineStr">
        <is>
          <t>—</t>
        </is>
      </c>
      <c r="V102" s="4" t="inlineStr">
        <is>
          <t>利好｜每篇须1份非学生全额注册</t>
        </is>
      </c>
      <c r="W102" s="2" t="inlineStr">
        <is>
          <t>已核实</t>
        </is>
      </c>
      <c r="X102" s="4" t="inlineStr">
        <is>
          <t>—</t>
        </is>
      </c>
      <c r="Y102" s="7" t="inlineStr">
        <is>
          <t>https://sensys.acm.org/2027/</t>
        </is>
      </c>
      <c r="Z102" s="4" t="inlineStr">
        <is>
          <t>强调真实部署，常设 poster/demo；核查:两轮截稿；一轮6/5已过，此为二轮；全部轮次 1st deadline:2026-06-06 / 2nd deadline:2026-11-06</t>
        </is>
      </c>
    </row>
    <row r="103" ht="32" customHeight="1">
      <c r="A103" s="8" t="n">
        <v>102</v>
      </c>
      <c r="B103" s="9" t="inlineStr">
        <is>
          <t>CHES</t>
        </is>
      </c>
      <c r="C103" s="10" t="inlineStr">
        <is>
          <t>International Conference on Cryptographic Hardware and Embedded Systems</t>
        </is>
      </c>
      <c r="D103" s="10" t="inlineStr">
        <is>
          <t>密码硬件与嵌入式安全会议，侧信道、故障攻击与轻量密码实现</t>
        </is>
      </c>
      <c r="E103" s="8" t="inlineStr">
        <is>
          <t>网络与信息安全</t>
        </is>
      </c>
      <c r="F103" s="13" t="inlineStr">
        <is>
          <t>B</t>
        </is>
      </c>
      <c r="G103" s="11">
        <f>IF(ISNUMBER(H103),IF(N(INDEX('_轮次'!$N$103:$Y$103,MATCH(H103,'_轮次'!$B$103:$M$103,0)))=0,"—",INDEX('_轮次'!$N$103:$Y$103,MATCH(H103,'_轮次'!$B$103:$M$103,0))),"—")</f>
        <v/>
      </c>
      <c r="H103" s="11">
        <f>IF(COUNT('_轮次'!$B$103:$M$103)=0,"待公布",IF(COUNTIF('_轮次'!$B$103:$M$103,"&gt;"&amp;'_轮次'!$A$1)&gt;0,SMALL('_轮次'!$B$103:$M$103,COUNTIF('_轮次'!$B$103:$M$103,"&lt;="&amp;'_轮次'!$A$1)+1),MAX('_轮次'!$B$103:$M$103)))</f>
        <v/>
      </c>
      <c r="I103" s="12">
        <f>IF(ISNUMBER(H103),INDEX('_轮次'!$AX$103:$BI$103,MATCH(H103,'_轮次'!$B$103:$M$103,0)),"—")</f>
        <v/>
      </c>
      <c r="J103" s="8" t="inlineStr">
        <is>
          <t>AoE</t>
        </is>
      </c>
      <c r="K103" s="11">
        <f>IF(ISNUMBER(H103),IF(N(INDEX('_轮次'!$Z$103:$AK$103,MATCH(H103,'_轮次'!$B$103:$M$103,0)))=0,"—",INDEX('_轮次'!$Z$103:$AK$103,MATCH(H103,'_轮次'!$B$103:$M$103,0))),"—")</f>
        <v/>
      </c>
      <c r="L103" s="11">
        <f>IF(ISNUMBER(H103),IF(N(INDEX('_轮次'!$AL$103:$AW$103,MATCH(H103,'_轮次'!$B$103:$M$103,0)))=0,"—",INDEX('_轮次'!$AL$103:$AW$103,MATCH(H103,'_轮次'!$B$103:$M$103,0))),"—")</f>
        <v/>
      </c>
      <c r="M103" s="8">
        <f>IF(ISNUMBER(H103),IF(H103&gt;'_轮次'!$A$1,"未截止","已截止"),"TBD")</f>
        <v/>
      </c>
      <c r="N103" s="8">
        <f>IF(ISNUMBER(H103),IF(H103&gt;'_轮次'!$A$1,INT(H103-'_轮次'!$A$1),"—"),"—")</f>
        <v/>
      </c>
      <c r="O103" s="12" t="inlineStr">
        <is>
          <t>September 6 - 9, 2027</t>
        </is>
      </c>
      <c r="P103" s="10" t="inlineStr">
        <is>
          <t>Cancún, Mexico</t>
        </is>
      </c>
      <c r="Q103" s="8" t="inlineStr">
        <is>
          <t>线下</t>
        </is>
      </c>
      <c r="R103" s="12" t="inlineStr">
        <is>
          <t>必须到场</t>
        </is>
      </c>
      <c r="S103" s="10" t="inlineStr">
        <is>
          <t>待确认</t>
        </is>
      </c>
      <c r="T103" s="8" t="inlineStr">
        <is>
          <t>不限</t>
        </is>
      </c>
      <c r="U103" s="8" t="inlineStr">
        <is>
          <t>—</t>
        </is>
      </c>
      <c r="V103" s="10" t="inlineStr">
        <is>
          <t>无专属条款</t>
        </is>
      </c>
      <c r="W103" s="8" t="inlineStr">
        <is>
          <t>已核实</t>
        </is>
      </c>
      <c r="X103" s="10" t="inlineStr">
        <is>
          <t>—</t>
        </is>
      </c>
      <c r="Y103" s="12" t="inlineStr">
        <is>
          <t>https://ches.iacr.org/2027/</t>
        </is>
      </c>
      <c r="Z103" s="10" t="inlineStr">
        <is>
          <t>IACR 主办，论文刊于 TCHES；核查:TCHES全年四期滚动，此为最近一期；全部轮次 Schedule for TCHES Volume 2027/1:2026-07-16 / Schedule for TCHES Volume 2027/2:2026-10-16 / Schedule for TCHES Volume 2027/3:2027-01-16 / Schedule for TCHES Volume 2027/4:2027-04-16</t>
        </is>
      </c>
    </row>
    <row r="104" ht="32" customHeight="1">
      <c r="A104" s="2" t="n">
        <v>103</v>
      </c>
      <c r="B104" s="3" t="inlineStr">
        <is>
          <t>CSFW</t>
        </is>
      </c>
      <c r="C104" s="4" t="inlineStr">
        <is>
          <t>IEEE Computer Security Foundations Symposium</t>
        </is>
      </c>
      <c r="D104" s="4" t="inlineStr">
        <is>
          <t>计算机安全形式化基础，协议与信息流验证、密码学安全性证明</t>
        </is>
      </c>
      <c r="E104" s="2" t="inlineStr">
        <is>
          <t>网络与信息安全</t>
        </is>
      </c>
      <c r="F104" s="13" t="inlineStr">
        <is>
          <t>B</t>
        </is>
      </c>
      <c r="G104" s="6">
        <f>IF(ISNUMBER(H104),IF(N(INDEX('_轮次'!$N$104:$Y$104,MATCH(H104,'_轮次'!$B$104:$M$104,0)))=0,"—",INDEX('_轮次'!$N$104:$Y$104,MATCH(H104,'_轮次'!$B$104:$M$104,0))),"—")</f>
        <v/>
      </c>
      <c r="H104" s="6">
        <f>IF(COUNT('_轮次'!$B$104:$M$104)=0,"待公布",IF(COUNTIF('_轮次'!$B$104:$M$104,"&gt;"&amp;'_轮次'!$A$1)&gt;0,SMALL('_轮次'!$B$104:$M$104,COUNTIF('_轮次'!$B$104:$M$104,"&lt;="&amp;'_轮次'!$A$1)+1),MAX('_轮次'!$B$104:$M$104)))</f>
        <v/>
      </c>
      <c r="I104" s="7">
        <f>IF(ISNUMBER(H104),INDEX('_轮次'!$AX$104:$BI$104,MATCH(H104,'_轮次'!$B$104:$M$104,0)),"—")</f>
        <v/>
      </c>
      <c r="J104" s="2" t="inlineStr">
        <is>
          <t>UTC-12</t>
        </is>
      </c>
      <c r="K104" s="6">
        <f>IF(ISNUMBER(H104),IF(N(INDEX('_轮次'!$Z$104:$AK$104,MATCH(H104,'_轮次'!$B$104:$M$104,0)))=0,"—",INDEX('_轮次'!$Z$104:$AK$104,MATCH(H104,'_轮次'!$B$104:$M$104,0))),"—")</f>
        <v/>
      </c>
      <c r="L104" s="6">
        <f>IF(ISNUMBER(H104),IF(N(INDEX('_轮次'!$AL$104:$AW$104,MATCH(H104,'_轮次'!$B$104:$M$104,0)))=0,"—",INDEX('_轮次'!$AL$104:$AW$104,MATCH(H104,'_轮次'!$B$104:$M$104,0))),"—")</f>
        <v/>
      </c>
      <c r="M104" s="2">
        <f>IF(ISNUMBER(H104),IF(H104&gt;'_轮次'!$A$1,"未截止","已截止"),"TBD")</f>
        <v/>
      </c>
      <c r="N104" s="2">
        <f>IF(ISNUMBER(H104),IF(H104&gt;'_轮次'!$A$1,INT(H104-'_轮次'!$A$1),"—"),"—")</f>
        <v/>
      </c>
      <c r="O104" s="7" t="inlineStr">
        <is>
          <t>September 13-17, 2027</t>
        </is>
      </c>
      <c r="P104" s="4" t="inlineStr">
        <is>
          <t>Tokyo, Japan</t>
        </is>
      </c>
      <c r="Q104" s="2" t="inlineStr">
        <is>
          <t>线下</t>
        </is>
      </c>
      <c r="R104" s="7" t="inlineStr">
        <is>
          <t>待确认</t>
        </is>
      </c>
      <c r="S104" s="4" t="inlineStr">
        <is>
          <t>待确认</t>
        </is>
      </c>
      <c r="T104" s="2" t="inlineStr">
        <is>
          <t>不限</t>
        </is>
      </c>
      <c r="U104" s="2" t="inlineStr">
        <is>
          <t>—</t>
        </is>
      </c>
      <c r="V104" s="4" t="inlineStr">
        <is>
          <t>未找到</t>
        </is>
      </c>
      <c r="W104" s="2" t="inlineStr">
        <is>
          <t>已核实</t>
        </is>
      </c>
      <c r="X104" s="4" t="inlineStr">
        <is>
          <t>是否到场、新人条款</t>
        </is>
      </c>
      <c r="Y104" s="7" t="inlineStr">
        <is>
          <t>https://www.ieee-security.org/TC/CSF2027/</t>
        </is>
      </c>
      <c r="Z104" s="4" t="inlineStr">
        <is>
          <t>CCF 归入体系结构，实为安全形式化方向；核查:三轮截稿；夏/秋轮已过，此为冬季轮；全部轮次 Summer:2026-08-04 / Fall:2026-10-16 / Winter:2027-01-29</t>
        </is>
      </c>
    </row>
    <row r="105" ht="32" customHeight="1">
      <c r="A105" s="8" t="n">
        <v>104</v>
      </c>
      <c r="B105" s="9" t="inlineStr">
        <is>
          <t>DSN</t>
        </is>
      </c>
      <c r="C105" s="10" t="inlineStr">
        <is>
          <t>International Conference on Dependable Systems and Networks</t>
        </is>
      </c>
      <c r="D105" s="10" t="inlineStr">
        <is>
          <t>系统可靠性与安全交叉会议，容错、入侵容忍与评测方法</t>
        </is>
      </c>
      <c r="E105" s="8" t="inlineStr">
        <is>
          <t>网络与信息安全</t>
        </is>
      </c>
      <c r="F105" s="13" t="inlineStr">
        <is>
          <t>B</t>
        </is>
      </c>
      <c r="G105" s="11" t="n">
        <v>46352.83263888889</v>
      </c>
      <c r="H105" s="11" t="n">
        <v>46359.83263888889</v>
      </c>
      <c r="I105" s="12" t="inlineStr">
        <is>
          <t>单轮</t>
        </is>
      </c>
      <c r="J105" s="8" t="inlineStr">
        <is>
          <t>AoE</t>
        </is>
      </c>
      <c r="K105" s="11" t="n">
        <v>46445.83263888889</v>
      </c>
      <c r="L105" s="11" t="inlineStr">
        <is>
          <t>2027-03-18</t>
        </is>
      </c>
      <c r="M105" s="8">
        <f>IF(ISNUMBER(H105),IF(H105&gt;'_轮次'!$A$1,"未截止","已截止"),"TBD")</f>
        <v/>
      </c>
      <c r="N105" s="8">
        <f>IF(ISNUMBER(H105),IF(H105&gt;'_轮次'!$A$1,INT(H105-'_轮次'!$A$1),"—"),"—")</f>
        <v/>
      </c>
      <c r="O105" s="12" t="inlineStr">
        <is>
          <t>June 22-25, 2027</t>
        </is>
      </c>
      <c r="P105" s="10" t="inlineStr">
        <is>
          <t>Berlin, Germany</t>
        </is>
      </c>
      <c r="Q105" s="8" t="inlineStr">
        <is>
          <t>线下</t>
        </is>
      </c>
      <c r="R105" s="12" t="inlineStr">
        <is>
          <t>待确认</t>
        </is>
      </c>
      <c r="S105" s="10" t="inlineStr">
        <is>
          <t>待确认</t>
        </is>
      </c>
      <c r="T105" s="8" t="inlineStr">
        <is>
          <t>不限</t>
        </is>
      </c>
      <c r="U105" s="8" t="inlineStr">
        <is>
          <t>—</t>
        </is>
      </c>
      <c r="V105" s="10" t="inlineStr">
        <is>
          <t>利好｜通道 Mentoring（导师计划）</t>
        </is>
      </c>
      <c r="W105" s="8" t="inlineStr">
        <is>
          <t>已核实</t>
        </is>
      </c>
      <c r="X105" s="10" t="inlineStr">
        <is>
          <t>是否到场</t>
        </is>
      </c>
      <c r="Y105" s="12" t="inlineStr">
        <is>
          <t>https://dsn2027-berlin.github.io/</t>
        </is>
      </c>
      <c r="Z105" s="10" t="inlineStr">
        <is>
          <t>与 SRDS 主题邻近，注意区分；核查:Research Track；摘要11/25，含早期拒稿1/26</t>
        </is>
      </c>
    </row>
    <row r="106" ht="32" customHeight="1">
      <c r="A106" s="2" t="n">
        <v>105</v>
      </c>
      <c r="B106" s="3" t="inlineStr">
        <is>
          <t>FSE(IACR)</t>
        </is>
      </c>
      <c r="C106" s="4" t="inlineStr">
        <is>
          <t>Fast Software Encryption</t>
        </is>
      </c>
      <c r="D106" s="4" t="inlineStr">
        <is>
          <t>对称密码旗舰会，分组与流密码设计、密码分析及轻量实现</t>
        </is>
      </c>
      <c r="E106" s="2" t="inlineStr">
        <is>
          <t>网络与信息安全</t>
        </is>
      </c>
      <c r="F106" s="13" t="inlineStr">
        <is>
          <t>B</t>
        </is>
      </c>
      <c r="G106" s="6">
        <f>IF(ISNUMBER(H106),IF(N(INDEX('_轮次'!$N$106:$Y$106,MATCH(H106,'_轮次'!$B$106:$M$106,0)))=0,"—",INDEX('_轮次'!$N$106:$Y$106,MATCH(H106,'_轮次'!$B$106:$M$106,0))),"—")</f>
        <v/>
      </c>
      <c r="H106" s="6">
        <f>IF(COUNT('_轮次'!$B$106:$M$106)=0,"待公布",IF(COUNTIF('_轮次'!$B$106:$M$106,"&gt;"&amp;'_轮次'!$A$1)&gt;0,SMALL('_轮次'!$B$106:$M$106,COUNTIF('_轮次'!$B$106:$M$106,"&lt;="&amp;'_轮次'!$A$1)+1),MAX('_轮次'!$B$106:$M$106)))</f>
        <v/>
      </c>
      <c r="I106" s="7">
        <f>IF(ISNUMBER(H106),INDEX('_轮次'!$AX$106:$BI$106,MATCH(H106,'_轮次'!$B$106:$M$106,0)),"—")</f>
        <v/>
      </c>
      <c r="J106" s="2" t="inlineStr">
        <is>
          <t>UTC-12</t>
        </is>
      </c>
      <c r="K106" s="6">
        <f>IF(ISNUMBER(H106),IF(N(INDEX('_轮次'!$Z$106:$AK$106,MATCH(H106,'_轮次'!$B$106:$M$106,0)))=0,"—",INDEX('_轮次'!$Z$106:$AK$106,MATCH(H106,'_轮次'!$B$106:$M$106,0))),"—")</f>
        <v/>
      </c>
      <c r="L106" s="6">
        <f>IF(ISNUMBER(H106),IF(N(INDEX('_轮次'!$AL$106:$AW$106,MATCH(H106,'_轮次'!$B$106:$M$106,0)))=0,"—",INDEX('_轮次'!$AL$106:$AW$106,MATCH(H106,'_轮次'!$B$106:$M$106,0))),"—")</f>
        <v/>
      </c>
      <c r="M106" s="2">
        <f>IF(ISNUMBER(H106),IF(H106&gt;'_轮次'!$A$1,"未截止","已截止"),"TBD")</f>
        <v/>
      </c>
      <c r="N106" s="2">
        <f>IF(ISNUMBER(H106),IF(H106&gt;'_轮次'!$A$1,INT(H106-'_轮次'!$A$1),"—"),"—")</f>
        <v/>
      </c>
      <c r="O106" s="7" t="inlineStr">
        <is>
          <t>May 24-28, 2027</t>
        </is>
      </c>
      <c r="P106" s="4" t="inlineStr">
        <is>
          <t>Maastricht, Netherlands</t>
        </is>
      </c>
      <c r="Q106" s="2" t="inlineStr">
        <is>
          <t>线下</t>
        </is>
      </c>
      <c r="R106" s="7" t="inlineStr">
        <is>
          <t>必须到场</t>
        </is>
      </c>
      <c r="S106" s="4" t="inlineStr">
        <is>
          <t>不设线上参会通道</t>
        </is>
      </c>
      <c r="T106" s="2" t="inlineStr">
        <is>
          <t>不限</t>
        </is>
      </c>
      <c r="U106" s="2" t="inlineStr">
        <is>
          <t>—</t>
        </is>
      </c>
      <c r="V106" s="4" t="inlineStr">
        <is>
          <t>利好｜学生作者免注册费，另设stipend</t>
        </is>
      </c>
      <c r="W106" s="2" t="inlineStr">
        <is>
          <t>已核实</t>
        </is>
      </c>
      <c r="X106" s="4" t="inlineStr">
        <is>
          <t>—</t>
        </is>
      </c>
      <c r="Y106" s="7" t="inlineStr">
        <is>
          <t>https://fse.iacr.org/2027/</t>
        </is>
      </c>
      <c r="Z106" s="4" t="inlineStr">
        <is>
          <t>注意与软件工程 FSE 同名不同会；核查:投稿经ToSC 2027 Issue 1，通知日未公布；全部轮次 ToSC, Volume 2026, Issue 4 Submission deadline:2026-09-02 / ToSC, Volume 2027, Issue 1 Submission deadline:2026-12-02</t>
        </is>
      </c>
    </row>
    <row r="107" ht="32" customHeight="1">
      <c r="A107" s="8" t="n">
        <v>106</v>
      </c>
      <c r="B107" s="9" t="inlineStr">
        <is>
          <t>PKC</t>
        </is>
      </c>
      <c r="C107" s="10" t="inlineStr">
        <is>
          <t>International Conference on Practice and Theory of Public-Key Cryptography</t>
        </is>
      </c>
      <c r="D107" s="10" t="inlineStr">
        <is>
          <t>公钥密码理论与实践，格密码、多方协议与安全性证明</t>
        </is>
      </c>
      <c r="E107" s="8" t="inlineStr">
        <is>
          <t>网络与信息安全</t>
        </is>
      </c>
      <c r="F107" s="13" t="inlineStr">
        <is>
          <t>B</t>
        </is>
      </c>
      <c r="G107" s="11" t="inlineStr">
        <is>
          <t>—</t>
        </is>
      </c>
      <c r="H107" s="11" t="n">
        <v>46251.83263888889</v>
      </c>
      <c r="I107" s="12" t="inlineStr">
        <is>
          <t>单轮</t>
        </is>
      </c>
      <c r="J107" s="8" t="inlineStr">
        <is>
          <t>UTC-12</t>
        </is>
      </c>
      <c r="K107" s="11" t="inlineStr">
        <is>
          <t>—</t>
        </is>
      </c>
      <c r="L107" s="11" t="inlineStr">
        <is>
          <t>2026-11-26</t>
        </is>
      </c>
      <c r="M107" s="8">
        <f>IF(ISNUMBER(H107),IF(H107&gt;'_轮次'!$A$1,"未截止","已截止"),"TBD")</f>
        <v/>
      </c>
      <c r="N107" s="8">
        <f>IF(ISNUMBER(H107),IF(H107&gt;'_轮次'!$A$1,INT(H107-'_轮次'!$A$1),"—"),"—")</f>
        <v/>
      </c>
      <c r="O107" s="12" t="inlineStr">
        <is>
          <t>March 1-4, 2027</t>
        </is>
      </c>
      <c r="P107" s="10" t="inlineStr">
        <is>
          <t>Taipei, Taiwan</t>
        </is>
      </c>
      <c r="Q107" s="8" t="inlineStr">
        <is>
          <t>线下</t>
        </is>
      </c>
      <c r="R107" s="12" t="inlineStr">
        <is>
          <t>必须到场</t>
        </is>
      </c>
      <c r="S107" s="10" t="inlineStr">
        <is>
          <t>必要时可远程报告</t>
        </is>
      </c>
      <c r="T107" s="8" t="inlineStr">
        <is>
          <t>不限</t>
        </is>
      </c>
      <c r="U107" s="8" t="inlineStr">
        <is>
          <t>—</t>
        </is>
      </c>
      <c r="V107" s="10" t="inlineStr">
        <is>
          <t>硬性｜配额 PC成员限3篇，全为学生作者可4篇</t>
        </is>
      </c>
      <c r="W107" s="8" t="inlineStr">
        <is>
          <t>已核实</t>
        </is>
      </c>
      <c r="X107" s="10" t="inlineStr">
        <is>
          <t>—</t>
        </is>
      </c>
      <c r="Y107" s="12" t="inlineStr">
        <is>
          <t>https://pkc.iacr.org/2027/</t>
        </is>
      </c>
      <c r="Z107" s="10" t="inlineStr">
        <is>
          <t>IACR 系列，与 Eurocrypt 主题邻近；核查:两轮评审，10-09首轮通知；仅PC成员限3-4篇</t>
        </is>
      </c>
    </row>
    <row r="108" ht="32" customHeight="1">
      <c r="A108" s="2" t="n">
        <v>107</v>
      </c>
      <c r="B108" s="3" t="inlineStr">
        <is>
          <t>CAiSE</t>
        </is>
      </c>
      <c r="C108" s="4" t="inlineStr">
        <is>
          <t>International Conference on Advanced Information Systems Engineering</t>
        </is>
      </c>
      <c r="D108" s="4" t="inlineStr">
        <is>
          <t>信息系统工程老牌会议，需求建模、业务流程与服务计算</t>
        </is>
      </c>
      <c r="E108" s="2" t="inlineStr">
        <is>
          <t>软件工程/系统软件</t>
        </is>
      </c>
      <c r="F108" s="13" t="inlineStr">
        <is>
          <t>B</t>
        </is>
      </c>
      <c r="G108" s="6" t="n">
        <v>46331.83263888889</v>
      </c>
      <c r="H108" s="6" t="n">
        <v>46342.83263888889</v>
      </c>
      <c r="I108" s="7" t="inlineStr">
        <is>
          <t>单轮</t>
        </is>
      </c>
      <c r="J108" s="2" t="inlineStr">
        <is>
          <t>AoE</t>
        </is>
      </c>
      <c r="K108" s="6" t="inlineStr">
        <is>
          <t>—</t>
        </is>
      </c>
      <c r="L108" s="6" t="inlineStr">
        <is>
          <t>2027-02-10</t>
        </is>
      </c>
      <c r="M108" s="2">
        <f>IF(ISNUMBER(H108),IF(H108&gt;'_轮次'!$A$1,"未截止","已截止"),"TBD")</f>
        <v/>
      </c>
      <c r="N108" s="2">
        <f>IF(ISNUMBER(H108),IF(H108&gt;'_轮次'!$A$1,INT(H108-'_轮次'!$A$1),"—"),"—")</f>
        <v/>
      </c>
      <c r="O108" s="7" t="inlineStr">
        <is>
          <t>June 7-11, 2027</t>
        </is>
      </c>
      <c r="P108" s="4" t="inlineStr">
        <is>
          <t>Seville, Spain</t>
        </is>
      </c>
      <c r="Q108" s="2" t="inlineStr">
        <is>
          <t>线下</t>
        </is>
      </c>
      <c r="R108" s="7" t="inlineStr">
        <is>
          <t>待确认</t>
        </is>
      </c>
      <c r="S108" s="4" t="inlineStr">
        <is>
          <t>待确认</t>
        </is>
      </c>
      <c r="T108" s="2" t="inlineStr">
        <is>
          <t>不限</t>
        </is>
      </c>
      <c r="U108" s="2" t="inlineStr">
        <is>
          <t>—</t>
        </is>
      </c>
      <c r="V108" s="4" t="inlineStr">
        <is>
          <t>未找到</t>
        </is>
      </c>
      <c r="W108" s="2" t="inlineStr">
        <is>
          <t>已核实</t>
        </is>
      </c>
      <c r="X108" s="4" t="inlineStr">
        <is>
          <t>是否到场、新人条款</t>
        </is>
      </c>
      <c r="Y108" s="7" t="inlineStr">
        <is>
          <t>https://deal.us.es/caise27/</t>
        </is>
      </c>
      <c r="Z108" s="4" t="inlineStr">
        <is>
          <t>偏管理信息系统与建模方法；核查:摘要2026-11-04必交；摄影稿2027-03-15；重查:重查失败：CFP 子页 404、首页超时</t>
        </is>
      </c>
    </row>
    <row r="109" ht="32" customHeight="1">
      <c r="A109" s="8" t="n">
        <v>108</v>
      </c>
      <c r="B109" s="9" t="inlineStr">
        <is>
          <t>ECOOP</t>
        </is>
      </c>
      <c r="C109" s="10" t="inlineStr">
        <is>
          <t>European Conference on Object-Oriented Programming</t>
        </is>
      </c>
      <c r="D109" s="10" t="inlineStr">
        <is>
          <t>面向对象与程序语言，模块化、类型系统与运行时实现</t>
        </is>
      </c>
      <c r="E109" s="8" t="inlineStr">
        <is>
          <t>软件工程/系统软件</t>
        </is>
      </c>
      <c r="F109" s="13" t="inlineStr">
        <is>
          <t>B</t>
        </is>
      </c>
      <c r="G109" s="11">
        <f>IF(ISNUMBER(H109),IF(N(INDEX('_轮次'!$N$109:$Y$109,MATCH(H109,'_轮次'!$B$109:$M$109,0)))=0,"—",INDEX('_轮次'!$N$109:$Y$109,MATCH(H109,'_轮次'!$B$109:$M$109,0))),"—")</f>
        <v/>
      </c>
      <c r="H109" s="11">
        <f>IF(COUNT('_轮次'!$B$109:$M$109)=0,"待公布",IF(COUNTIF('_轮次'!$B$109:$M$109,"&gt;"&amp;'_轮次'!$A$1)&gt;0,SMALL('_轮次'!$B$109:$M$109,COUNTIF('_轮次'!$B$109:$M$109,"&lt;="&amp;'_轮次'!$A$1)+1),MAX('_轮次'!$B$109:$M$109)))</f>
        <v/>
      </c>
      <c r="I109" s="12">
        <f>IF(ISNUMBER(H109),INDEX('_轮次'!$AX$109:$BI$109,MATCH(H109,'_轮次'!$B$109:$M$109,0)),"—")</f>
        <v/>
      </c>
      <c r="J109" s="8" t="inlineStr">
        <is>
          <t>AoE</t>
        </is>
      </c>
      <c r="K109" s="11">
        <f>IF(ISNUMBER(H109),IF(N(INDEX('_轮次'!$Z$109:$AK$109,MATCH(H109,'_轮次'!$B$109:$M$109,0)))=0,"—",INDEX('_轮次'!$Z$109:$AK$109,MATCH(H109,'_轮次'!$B$109:$M$109,0))),"—")</f>
        <v/>
      </c>
      <c r="L109" s="11">
        <f>IF(ISNUMBER(H109),IF(N(INDEX('_轮次'!$AL$109:$AW$109,MATCH(H109,'_轮次'!$B$109:$M$109,0)))=0,"—",INDEX('_轮次'!$AL$109:$AW$109,MATCH(H109,'_轮次'!$B$109:$M$109,0))),"—")</f>
        <v/>
      </c>
      <c r="M109" s="8">
        <f>IF(ISNUMBER(H109),IF(H109&gt;'_轮次'!$A$1,"未截止","已截止"),"TBD")</f>
        <v/>
      </c>
      <c r="N109" s="8">
        <f>IF(ISNUMBER(H109),IF(H109&gt;'_轮次'!$A$1,INT(H109-'_轮次'!$A$1),"—"),"—")</f>
        <v/>
      </c>
      <c r="O109" s="12" t="inlineStr">
        <is>
          <t>June 28 - July 2, 2027</t>
        </is>
      </c>
      <c r="P109" s="10" t="inlineStr">
        <is>
          <t>Turin, Italy</t>
        </is>
      </c>
      <c r="Q109" s="8" t="inlineStr">
        <is>
          <t>线下</t>
        </is>
      </c>
      <c r="R109" s="12" t="inlineStr">
        <is>
          <t>待确认</t>
        </is>
      </c>
      <c r="S109" s="10" t="inlineStr">
        <is>
          <t>待确认</t>
        </is>
      </c>
      <c r="T109" s="8" t="inlineStr">
        <is>
          <t>不限</t>
        </is>
      </c>
      <c r="U109" s="8" t="inlineStr">
        <is>
          <t>—</t>
        </is>
      </c>
      <c r="V109" s="10" t="inlineStr">
        <is>
          <t>硬性｜须同意 Reserve Reviewer 政策，可能被指定担任审稿人</t>
        </is>
      </c>
      <c r="W109" s="8" t="inlineStr">
        <is>
          <t>已核实</t>
        </is>
      </c>
      <c r="X109" s="10" t="inlineStr">
        <is>
          <t>是否到场</t>
        </is>
      </c>
      <c r="Y109" s="12" t="inlineStr">
        <is>
          <t>https://2027.ecoop.org/</t>
        </is>
      </c>
      <c r="Z109" s="10" t="inlineStr">
        <is>
          <t>与 OOPSLA 主题高度重叠；核查:两轮投稿：R2截止2027-02-11，通知2027-04-08；重查:Technical Papers 页未写到场要求；全部轮次 Submission R1:2026-11-20 / Submission R2:2027-02-12</t>
        </is>
      </c>
    </row>
    <row r="110" ht="32" customHeight="1">
      <c r="A110" s="2" t="n">
        <v>109</v>
      </c>
      <c r="B110" s="3" t="inlineStr">
        <is>
          <t>ETAPS</t>
        </is>
      </c>
      <c r="C110" s="4" t="inlineStr">
        <is>
          <t>European Joint Conferences on Theory and Practice of Software</t>
        </is>
      </c>
      <c r="D110" s="4" t="inlineStr">
        <is>
          <t>欧洲软件理论与实践的联合大会，含多个子会议同期召开</t>
        </is>
      </c>
      <c r="E110" s="2" t="inlineStr">
        <is>
          <t>软件工程/系统软件</t>
        </is>
      </c>
      <c r="F110" s="13" t="inlineStr">
        <is>
          <t>B</t>
        </is>
      </c>
      <c r="G110" s="6">
        <f>IF(ISNUMBER(H110),IF(N(INDEX('_轮次'!$N$110:$Y$110,MATCH(H110,'_轮次'!$B$110:$M$110,0)))=0,"—",INDEX('_轮次'!$N$110:$Y$110,MATCH(H110,'_轮次'!$B$110:$M$110,0))),"—")</f>
        <v/>
      </c>
      <c r="H110" s="6">
        <f>IF(COUNT('_轮次'!$B$110:$M$110)=0,"待公布",IF(COUNTIF('_轮次'!$B$110:$M$110,"&gt;"&amp;'_轮次'!$A$1)&gt;0,SMALL('_轮次'!$B$110:$M$110,COUNTIF('_轮次'!$B$110:$M$110,"&lt;="&amp;'_轮次'!$A$1)+1),MAX('_轮次'!$B$110:$M$110)))</f>
        <v/>
      </c>
      <c r="I110" s="7">
        <f>IF(ISNUMBER(H110),INDEX('_轮次'!$AX$110:$BI$110,MATCH(H110,'_轮次'!$B$110:$M$110,0)),"—")</f>
        <v/>
      </c>
      <c r="J110" s="2" t="inlineStr">
        <is>
          <t>AoE</t>
        </is>
      </c>
      <c r="K110" s="6">
        <f>IF(ISNUMBER(H110),IF(N(INDEX('_轮次'!$Z$110:$AK$110,MATCH(H110,'_轮次'!$B$110:$M$110,0)))=0,"—",INDEX('_轮次'!$Z$110:$AK$110,MATCH(H110,'_轮次'!$B$110:$M$110,0))),"—")</f>
        <v/>
      </c>
      <c r="L110" s="6">
        <f>IF(ISNUMBER(H110),IF(N(INDEX('_轮次'!$AL$110:$AW$110,MATCH(H110,'_轮次'!$B$110:$M$110,0)))=0,"—",INDEX('_轮次'!$AL$110:$AW$110,MATCH(H110,'_轮次'!$B$110:$M$110,0))),"—")</f>
        <v/>
      </c>
      <c r="M110" s="2">
        <f>IF(ISNUMBER(H110),IF(H110&gt;'_轮次'!$A$1,"未截止","已截止"),"TBD")</f>
        <v/>
      </c>
      <c r="N110" s="2">
        <f>IF(ISNUMBER(H110),IF(H110&gt;'_轮次'!$A$1,INT(H110-'_轮次'!$A$1),"—"),"—")</f>
        <v/>
      </c>
      <c r="O110" s="7" t="inlineStr">
        <is>
          <t>April 10-15, 2027</t>
        </is>
      </c>
      <c r="P110" s="4" t="inlineStr">
        <is>
          <t>Copenhagen, Denmark</t>
        </is>
      </c>
      <c r="Q110" s="2" t="inlineStr">
        <is>
          <t>线下</t>
        </is>
      </c>
      <c r="R110" s="7" t="inlineStr">
        <is>
          <t>待确认</t>
        </is>
      </c>
      <c r="S110" s="4" t="inlineStr">
        <is>
          <t>待确认</t>
        </is>
      </c>
      <c r="T110" s="2" t="inlineStr">
        <is>
          <t>不限</t>
        </is>
      </c>
      <c r="U110" s="2" t="inlineStr">
        <is>
          <t>—</t>
        </is>
      </c>
      <c r="V110" s="4" t="inlineStr">
        <is>
          <t>CFP未发布</t>
        </is>
      </c>
      <c r="W110" s="2" t="inlineStr">
        <is>
          <t>2027CFP未发布</t>
        </is>
      </c>
      <c r="X110" s="4" t="inlineStr">
        <is>
          <t>是否到场、新人条款</t>
        </is>
      </c>
      <c r="Y110" s="7" t="inlineStr">
        <is>
          <t>https://etaps.org/2027</t>
        </is>
      </c>
      <c r="Z110" s="4" t="inlineStr">
        <is>
          <t>非单一投稿口，需选定子会投稿；核查:官网仅公布会期2027-04-10至15，CFP页404，截稿由各成员会议单独发布；全部轮次 ESOP round 1:2026-05-29 / ESOP round 2, FoSSaCS, TACAS, iFS:2026-10-16</t>
        </is>
      </c>
    </row>
    <row r="111" ht="32" customHeight="1">
      <c r="A111" s="8" t="n">
        <v>110</v>
      </c>
      <c r="B111" s="9" t="inlineStr">
        <is>
          <t>HotOS</t>
        </is>
      </c>
      <c r="C111" s="10" t="inlineStr">
        <is>
          <t>USENIX Workshop on Hot Topics in Operating Systems</t>
        </is>
      </c>
      <c r="D111" s="10" t="inlineStr">
        <is>
          <t>操作系统热点研讨会，短立场文，鼓励争议性新方向</t>
        </is>
      </c>
      <c r="E111" s="8" t="inlineStr">
        <is>
          <t>软件工程/系统软件</t>
        </is>
      </c>
      <c r="F111" s="13" t="inlineStr">
        <is>
          <t>B</t>
        </is>
      </c>
      <c r="G111" s="11" t="inlineStr">
        <is>
          <t>—</t>
        </is>
      </c>
      <c r="H111" s="11" t="n">
        <v>46420.83263888889</v>
      </c>
      <c r="I111" s="12" t="inlineStr">
        <is>
          <t>单轮</t>
        </is>
      </c>
      <c r="J111" s="8" t="inlineStr">
        <is>
          <t>AoE</t>
        </is>
      </c>
      <c r="K111" s="11" t="inlineStr">
        <is>
          <t>—</t>
        </is>
      </c>
      <c r="L111" s="11" t="inlineStr">
        <is>
          <t>2027-04-09</t>
        </is>
      </c>
      <c r="M111" s="8">
        <f>IF(ISNUMBER(H111),IF(H111&gt;'_轮次'!$A$1,"未截止","已截止"),"TBD")</f>
        <v/>
      </c>
      <c r="N111" s="8">
        <f>IF(ISNUMBER(H111),IF(H111&gt;'_轮次'!$A$1,INT(H111-'_轮次'!$A$1),"—"),"—")</f>
        <v/>
      </c>
      <c r="O111" s="12" t="inlineStr">
        <is>
          <t>May 24-26, 2027</t>
        </is>
      </c>
      <c r="P111" s="10" t="inlineStr">
        <is>
          <t>Burghausen, Bavaria, Germany</t>
        </is>
      </c>
      <c r="Q111" s="8" t="inlineStr">
        <is>
          <t>线下</t>
        </is>
      </c>
      <c r="R111" s="12" t="inlineStr">
        <is>
          <t>必须到场</t>
        </is>
      </c>
      <c r="S111" s="10" t="inlineStr">
        <is>
          <t>仅签证等特殊情况例外</t>
        </is>
      </c>
      <c r="T111" s="8" t="inlineStr">
        <is>
          <t>不限</t>
        </is>
      </c>
      <c r="U111" s="8" t="inlineStr">
        <is>
          <t>—</t>
        </is>
      </c>
      <c r="V111" s="10" t="inlineStr">
        <is>
          <t>无专属条款</t>
        </is>
      </c>
      <c r="W111" s="8" t="inlineStr">
        <is>
          <t>已核实</t>
        </is>
      </c>
      <c r="X111" s="10" t="inlineStr">
        <is>
          <t>—</t>
        </is>
      </c>
      <c r="Y111" s="12" t="inlineStr">
        <is>
          <t>https://sigops.org/s/conferences/hotos/2027/</t>
        </is>
      </c>
      <c r="Z111" s="10" t="inlineStr">
        <is>
          <t>workshop 性质，重观点轻完整实验；核查:每篇录用论文仅2个参会邀请，注册名额受限</t>
        </is>
      </c>
    </row>
    <row r="112" ht="32" customHeight="1">
      <c r="A112" s="2" t="n">
        <v>111</v>
      </c>
      <c r="B112" s="3" t="inlineStr">
        <is>
          <t>ICFP</t>
        </is>
      </c>
      <c r="C112" s="4" t="inlineStr">
        <is>
          <t>International Conference on Function Programming</t>
        </is>
      </c>
      <c r="D112" s="4" t="inlineStr">
        <is>
          <t>函数式编程顶会，类型理论、编译实现与程序验证并重</t>
        </is>
      </c>
      <c r="E112" s="2" t="inlineStr">
        <is>
          <t>软件工程/系统软件</t>
        </is>
      </c>
      <c r="F112" s="13" t="inlineStr">
        <is>
          <t>B</t>
        </is>
      </c>
      <c r="G112" s="6" t="inlineStr">
        <is>
          <t>—</t>
        </is>
      </c>
      <c r="H112" s="6" t="n">
        <v>46444.83263888889</v>
      </c>
      <c r="I112" s="7" t="inlineStr">
        <is>
          <t>单轮</t>
        </is>
      </c>
      <c r="J112" s="2" t="inlineStr">
        <is>
          <t>AoE</t>
        </is>
      </c>
      <c r="K112" s="6" t="n">
        <v>46500.83263888889</v>
      </c>
      <c r="L112" s="6" t="inlineStr">
        <is>
          <t>2027-06-11</t>
        </is>
      </c>
      <c r="M112" s="2">
        <f>IF(ISNUMBER(H112),IF(H112&gt;'_轮次'!$A$1,"未截止","已截止"),"TBD")</f>
        <v/>
      </c>
      <c r="N112" s="2">
        <f>IF(ISNUMBER(H112),IF(H112&gt;'_轮次'!$A$1,INT(H112-'_轮次'!$A$1),"—"),"—")</f>
        <v/>
      </c>
      <c r="O112" s="7" t="inlineStr">
        <is>
          <t>September 26 - October 1, 2027</t>
        </is>
      </c>
      <c r="P112" s="4" t="inlineStr">
        <is>
          <t>Nijmegen, Netherlands</t>
        </is>
      </c>
      <c r="Q112" s="2" t="inlineStr">
        <is>
          <t>线下</t>
        </is>
      </c>
      <c r="R112" s="7" t="inlineStr">
        <is>
          <t>必须到场</t>
        </is>
      </c>
      <c r="S112" s="4" t="inlineStr">
        <is>
          <t>不可抗力可远程报告</t>
        </is>
      </c>
      <c r="T112" s="2" t="inlineStr">
        <is>
          <t>不限</t>
        </is>
      </c>
      <c r="U112" s="2" t="inlineStr">
        <is>
          <t>—</t>
        </is>
      </c>
      <c r="V112" s="4" t="inlineStr">
        <is>
          <t>硬性｜每篇须一位资深作者登记为 reserve reviewer，违者可拒稿</t>
        </is>
      </c>
      <c r="W112" s="2" t="inlineStr">
        <is>
          <t>已核实</t>
        </is>
      </c>
      <c r="X112" s="4" t="inlineStr">
        <is>
          <t>—</t>
        </is>
      </c>
      <c r="Y112" s="7" t="inlineStr">
        <is>
          <t>https://icfp27.sigplan.org/</t>
        </is>
      </c>
      <c r="Z112" s="4" t="inlineStr">
        <is>
          <t>PACMPL 连续出版，可多轮修改；核查:05-07为有条件录用通知，06-11为最终通知</t>
        </is>
      </c>
    </row>
    <row r="113" ht="32" customHeight="1">
      <c r="A113" s="8" t="n">
        <v>112</v>
      </c>
      <c r="B113" s="9" t="inlineStr">
        <is>
          <t>ICPC</t>
        </is>
      </c>
      <c r="C113" s="10" t="inlineStr">
        <is>
          <t>IEEE International Conference on Program Comprehension</t>
        </is>
      </c>
      <c r="D113" s="10" t="inlineStr">
        <is>
          <t>程序理解专题会议，代码摘要、可视化与开发者认知实证</t>
        </is>
      </c>
      <c r="E113" s="8" t="inlineStr">
        <is>
          <t>软件工程/系统软件</t>
        </is>
      </c>
      <c r="F113" s="13" t="inlineStr">
        <is>
          <t>B</t>
        </is>
      </c>
      <c r="G113" s="11" t="n">
        <v>46325.83263888889</v>
      </c>
      <c r="H113" s="11" t="n">
        <v>46332.83263888889</v>
      </c>
      <c r="I113" s="12" t="inlineStr">
        <is>
          <t>单轮</t>
        </is>
      </c>
      <c r="J113" s="8" t="inlineStr">
        <is>
          <t>AoE</t>
        </is>
      </c>
      <c r="K113" s="11" t="inlineStr">
        <is>
          <t>—</t>
        </is>
      </c>
      <c r="L113" s="11" t="inlineStr">
        <is>
          <t>2027-01-14</t>
        </is>
      </c>
      <c r="M113" s="8">
        <f>IF(ISNUMBER(H113),IF(H113&gt;'_轮次'!$A$1,"未截止","已截止"),"TBD")</f>
        <v/>
      </c>
      <c r="N113" s="8">
        <f>IF(ISNUMBER(H113),IF(H113&gt;'_轮次'!$A$1,INT(H113-'_轮次'!$A$1),"—"),"—")</f>
        <v/>
      </c>
      <c r="O113" s="12" t="inlineStr">
        <is>
          <t>April 25-26, 2027</t>
        </is>
      </c>
      <c r="P113" s="10" t="inlineStr">
        <is>
          <t>Dublin, Ireland</t>
        </is>
      </c>
      <c r="Q113" s="8" t="inlineStr">
        <is>
          <t>线下</t>
        </is>
      </c>
      <c r="R113" s="12" t="inlineStr">
        <is>
          <t>必须到场</t>
        </is>
      </c>
      <c r="S113" s="10" t="inlineStr">
        <is>
          <t>仅旅行受限例外</t>
        </is>
      </c>
      <c r="T113" s="8" t="inlineStr">
        <is>
          <t>不限</t>
        </is>
      </c>
      <c r="U113" s="8" t="inlineStr">
        <is>
          <t>—</t>
        </is>
      </c>
      <c r="V113" s="10" t="inlineStr">
        <is>
          <t>无专属条款</t>
        </is>
      </c>
      <c r="W113" s="8" t="inlineStr">
        <is>
          <t>已核实</t>
        </is>
      </c>
      <c r="X113" s="10" t="inlineStr">
        <is>
          <t>—</t>
        </is>
      </c>
      <c r="Y113" s="12" t="inlineStr">
        <is>
          <t>https://conf.researchr.org/home/icpc-2027</t>
        </is>
      </c>
      <c r="Z113" s="10" t="inlineStr">
        <is>
          <t>与 MSR 主题重叠，偏理解与实证；核查:研究track摘要2026-10-29；主席及学生不得投稿</t>
        </is>
      </c>
    </row>
    <row r="114" ht="32" customHeight="1">
      <c r="A114" s="2" t="n">
        <v>113</v>
      </c>
      <c r="B114" s="3" t="inlineStr">
        <is>
          <t>ICSME</t>
        </is>
      </c>
      <c r="C114" s="4" t="inlineStr">
        <is>
          <t>International Conference on Software Maintenance and Evolution</t>
        </is>
      </c>
      <c r="D114" s="4" t="inlineStr">
        <is>
          <t>软件维护与演化主会，缺陷修复、重构、代码异味与挖掘</t>
        </is>
      </c>
      <c r="E114" s="2" t="inlineStr">
        <is>
          <t>软件工程/系统软件</t>
        </is>
      </c>
      <c r="F114" s="13" t="inlineStr">
        <is>
          <t>B</t>
        </is>
      </c>
      <c r="G114" s="6" t="inlineStr">
        <is>
          <t>—</t>
        </is>
      </c>
      <c r="H114" s="6" t="n">
        <v>46452.83263888889</v>
      </c>
      <c r="I114" s="7" t="inlineStr">
        <is>
          <t>Research Papers Track</t>
        </is>
      </c>
      <c r="J114" s="2" t="inlineStr">
        <is>
          <t>AoE</t>
        </is>
      </c>
      <c r="K114" s="6" t="n">
        <v>46515.83263888889</v>
      </c>
      <c r="L114" s="6" t="inlineStr">
        <is>
          <t>2027-05-28</t>
        </is>
      </c>
      <c r="M114" s="2">
        <f>IF(ISNUMBER(H114),IF(H114&gt;'_轮次'!$A$1,"未截止","已截止"),"TBD")</f>
        <v/>
      </c>
      <c r="N114" s="2">
        <f>IF(ISNUMBER(H114),IF(H114&gt;'_轮次'!$A$1,INT(H114-'_轮次'!$A$1),"—"),"—")</f>
        <v/>
      </c>
      <c r="O114" s="7" t="inlineStr">
        <is>
          <t>September 7-11, 2027</t>
        </is>
      </c>
      <c r="P114" s="4" t="inlineStr">
        <is>
          <t>Toronto, Canada</t>
        </is>
      </c>
      <c r="Q114" s="2" t="inlineStr">
        <is>
          <t>线下</t>
        </is>
      </c>
      <c r="R114" s="7" t="inlineStr">
        <is>
          <t>待确认</t>
        </is>
      </c>
      <c r="S114" s="4" t="inlineStr">
        <is>
          <t>待确认</t>
        </is>
      </c>
      <c r="T114" s="2" t="inlineStr">
        <is>
          <t>不限</t>
        </is>
      </c>
      <c r="U114" s="2" t="inlineStr">
        <is>
          <t>—</t>
        </is>
      </c>
      <c r="V114" s="4" t="inlineStr">
        <is>
          <t>未找到</t>
        </is>
      </c>
      <c r="W114" s="2" t="inlineStr">
        <is>
          <t>已核实</t>
        </is>
      </c>
      <c r="X114" s="4" t="inlineStr">
        <is>
          <t>是否到场、新人条款</t>
        </is>
      </c>
      <c r="Y114" s="7" t="inlineStr">
        <is>
          <t>https://conf.researchr.org/home/icsme-2027</t>
        </is>
      </c>
      <c r="Z114" s="4" t="inlineStr">
        <is>
          <t>与 SANER、FSE 研究轨道主题重叠；核查:官网仅列正文截稿，未列摘要截稿</t>
        </is>
      </c>
    </row>
    <row r="115" ht="32" customHeight="1">
      <c r="A115" s="8" t="n">
        <v>114</v>
      </c>
      <c r="B115" s="9" t="inlineStr">
        <is>
          <t>ISSRE</t>
        </is>
      </c>
      <c r="C115" s="10" t="inlineStr">
        <is>
          <t>International Symposium on Software Reliability Engineering</t>
        </is>
      </c>
      <c r="D115" s="10" t="inlineStr">
        <is>
          <t>软件可靠性工程，缺陷预测、测试充分性与系统韧性</t>
        </is>
      </c>
      <c r="E115" s="8" t="inlineStr">
        <is>
          <t>软件工程/系统软件</t>
        </is>
      </c>
      <c r="F115" s="13" t="inlineStr">
        <is>
          <t>B</t>
        </is>
      </c>
      <c r="G115" s="11" t="inlineStr">
        <is>
          <t>—</t>
        </is>
      </c>
      <c r="H115" s="11" t="inlineStr">
        <is>
          <t>待公布</t>
        </is>
      </c>
      <c r="I115" s="12" t="inlineStr">
        <is>
          <t>—</t>
        </is>
      </c>
      <c r="J115" s="8" t="inlineStr">
        <is>
          <t>AoE</t>
        </is>
      </c>
      <c r="K115" s="11" t="inlineStr">
        <is>
          <t>—</t>
        </is>
      </c>
      <c r="L115" s="11" t="inlineStr">
        <is>
          <t>待公布</t>
        </is>
      </c>
      <c r="M115" s="8">
        <f>IF(ISNUMBER(H115),IF(H115&gt;'_轮次'!$A$1,"未截止","已截止"),"TBD")</f>
        <v/>
      </c>
      <c r="N115" s="8">
        <f>IF(ISNUMBER(H115),IF(H115&gt;'_轮次'!$A$1,INT(H115-'_轮次'!$A$1),"—"),"—")</f>
        <v/>
      </c>
      <c r="O115" s="12" t="inlineStr">
        <is>
          <t>October 19-22, 2027</t>
        </is>
      </c>
      <c r="P115" s="10" t="inlineStr">
        <is>
          <t>Taipa, Macao SAR, China</t>
        </is>
      </c>
      <c r="Q115" s="8" t="inlineStr">
        <is>
          <t>线下</t>
        </is>
      </c>
      <c r="R115" s="12" t="inlineStr">
        <is>
          <t>待确认</t>
        </is>
      </c>
      <c r="S115" s="10" t="inlineStr">
        <is>
          <t>待确认</t>
        </is>
      </c>
      <c r="T115" s="8" t="inlineStr">
        <is>
          <t>不限</t>
        </is>
      </c>
      <c r="U115" s="8" t="inlineStr">
        <is>
          <t>—</t>
        </is>
      </c>
      <c r="V115" s="10" t="inlineStr">
        <is>
          <t>CFP未发布</t>
        </is>
      </c>
      <c r="W115" s="8" t="inlineStr">
        <is>
          <t>2027CFP未发布</t>
        </is>
      </c>
      <c r="X115" s="10" t="inlineStr">
        <is>
          <t>截稿日、是否到场、新人条款</t>
        </is>
      </c>
      <c r="Y115" s="12" t="inlineStr">
        <is>
          <t>https://conf.researchr.org/home/issre-2027</t>
        </is>
      </c>
      <c r="Z115" s="10" t="inlineStr">
        <is>
          <t>偏工业实证与可靠性度量；核查:官网仅公告会期2027-10-19至22，截至日期页为空</t>
        </is>
      </c>
    </row>
    <row r="116" ht="32" customHeight="1">
      <c r="A116" s="2" t="n">
        <v>115</v>
      </c>
      <c r="B116" s="3" t="inlineStr">
        <is>
          <t>RE</t>
        </is>
      </c>
      <c r="C116" s="4" t="inlineStr">
        <is>
          <t>IEEE International Requirements Engineering Conference</t>
        </is>
      </c>
      <c r="D116" s="4" t="inlineStr">
        <is>
          <t>需求工程主会，需求获取、建模、可追溯性与人因实证</t>
        </is>
      </c>
      <c r="E116" s="2" t="inlineStr">
        <is>
          <t>软件工程/系统软件</t>
        </is>
      </c>
      <c r="F116" s="13" t="inlineStr">
        <is>
          <t>B</t>
        </is>
      </c>
      <c r="G116" s="6" t="n">
        <v>46441.83263888889</v>
      </c>
      <c r="H116" s="6" t="n">
        <v>46448.83263888889</v>
      </c>
      <c r="I116" s="7" t="inlineStr">
        <is>
          <t>Research Papers</t>
        </is>
      </c>
      <c r="J116" s="2" t="inlineStr">
        <is>
          <t>AoE</t>
        </is>
      </c>
      <c r="K116" s="6" t="inlineStr">
        <is>
          <t>—</t>
        </is>
      </c>
      <c r="L116" s="6" t="inlineStr">
        <is>
          <t>2027-05-14</t>
        </is>
      </c>
      <c r="M116" s="2">
        <f>IF(ISNUMBER(H116),IF(H116&gt;'_轮次'!$A$1,"未截止","已截止"),"TBD")</f>
        <v/>
      </c>
      <c r="N116" s="2">
        <f>IF(ISNUMBER(H116),IF(H116&gt;'_轮次'!$A$1,INT(H116-'_轮次'!$A$1),"—"),"—")</f>
        <v/>
      </c>
      <c r="O116" s="7" t="inlineStr">
        <is>
          <t>August 23-27, 2027</t>
        </is>
      </c>
      <c r="P116" s="4" t="inlineStr">
        <is>
          <t>Milan, Italy</t>
        </is>
      </c>
      <c r="Q116" s="2" t="inlineStr">
        <is>
          <t>线下</t>
        </is>
      </c>
      <c r="R116" s="7" t="inlineStr">
        <is>
          <t>待确认</t>
        </is>
      </c>
      <c r="S116" s="4" t="inlineStr">
        <is>
          <t>待确认</t>
        </is>
      </c>
      <c r="T116" s="2" t="inlineStr">
        <is>
          <t>不限</t>
        </is>
      </c>
      <c r="U116" s="2" t="inlineStr">
        <is>
          <t>—</t>
        </is>
      </c>
      <c r="V116" s="4" t="inlineStr">
        <is>
          <t>未找到</t>
        </is>
      </c>
      <c r="W116" s="2" t="inlineStr">
        <is>
          <t>已核实</t>
        </is>
      </c>
      <c r="X116" s="4" t="inlineStr">
        <is>
          <t>是否到场、新人条款</t>
        </is>
      </c>
      <c r="Y116" s="7" t="inlineStr">
        <is>
          <t>https://conf.researchr.org/home/RE-2027</t>
        </is>
      </c>
      <c r="Z116" s="4" t="inlineStr">
        <is>
          <t>与 REFSQ 等需求类会议互补；核查:摘要截止2027-02-22；另有RE@Next!新投稿者track</t>
        </is>
      </c>
    </row>
    <row r="117" ht="32" customHeight="1">
      <c r="A117" s="8" t="n">
        <v>116</v>
      </c>
      <c r="B117" s="9" t="inlineStr">
        <is>
          <t>SANER</t>
        </is>
      </c>
      <c r="C117" s="10" t="inlineStr">
        <is>
          <t>IEEE International Conference on Software Analysis, Evolution and Reengineering</t>
        </is>
      </c>
      <c r="D117" s="10" t="inlineStr">
        <is>
          <t>软件分析与再工程，逆向、克隆检测、API 演化与工具</t>
        </is>
      </c>
      <c r="E117" s="8" t="inlineStr">
        <is>
          <t>软件工程/系统软件</t>
        </is>
      </c>
      <c r="F117" s="13" t="inlineStr">
        <is>
          <t>B</t>
        </is>
      </c>
      <c r="G117" s="11" t="n">
        <v>46287.83263888889</v>
      </c>
      <c r="H117" s="11" t="n">
        <v>46291.83263888889</v>
      </c>
      <c r="I117" s="12" t="inlineStr">
        <is>
          <t>Research Track Paper submission deadline</t>
        </is>
      </c>
      <c r="J117" s="8" t="inlineStr">
        <is>
          <t>AoE</t>
        </is>
      </c>
      <c r="K117" s="11" t="inlineStr">
        <is>
          <t>—</t>
        </is>
      </c>
      <c r="L117" s="11" t="inlineStr">
        <is>
          <t>2026-12-01</t>
        </is>
      </c>
      <c r="M117" s="8">
        <f>IF(ISNUMBER(H117),IF(H117&gt;'_轮次'!$A$1,"未截止","已截止"),"TBD")</f>
        <v/>
      </c>
      <c r="N117" s="8">
        <f>IF(ISNUMBER(H117),IF(H117&gt;'_轮次'!$A$1,INT(H117-'_轮次'!$A$1),"—"),"—")</f>
        <v/>
      </c>
      <c r="O117" s="12" t="inlineStr">
        <is>
          <t>March 9-12, 2027</t>
        </is>
      </c>
      <c r="P117" s="10" t="inlineStr">
        <is>
          <t>Richmond, Virginia, United States</t>
        </is>
      </c>
      <c r="Q117" s="8" t="inlineStr">
        <is>
          <t>线下</t>
        </is>
      </c>
      <c r="R117" s="12" t="inlineStr">
        <is>
          <t>待确认</t>
        </is>
      </c>
      <c r="S117" s="10" t="inlineStr">
        <is>
          <t>待确认</t>
        </is>
      </c>
      <c r="T117" s="8" t="inlineStr">
        <is>
          <t>不限</t>
        </is>
      </c>
      <c r="U117" s="8" t="inlineStr">
        <is>
          <t>—</t>
        </is>
      </c>
      <c r="V117" s="10" t="inlineStr">
        <is>
          <t>未找到</t>
        </is>
      </c>
      <c r="W117" s="8" t="inlineStr">
        <is>
          <t>已核实</t>
        </is>
      </c>
      <c r="X117" s="10" t="inlineStr">
        <is>
          <t>是否到场、新人条款</t>
        </is>
      </c>
      <c r="Y117" s="12" t="inlineStr">
        <is>
          <t>https://conf.researchr.org/home/saner-2027</t>
        </is>
      </c>
      <c r="Z117" s="10" t="inlineStr">
        <is>
          <t>偏演化与工具，接受工业论文；核查:Research Track摘要2026-09-21强制提交</t>
        </is>
      </c>
    </row>
    <row r="118" ht="32" customHeight="1">
      <c r="A118" s="2" t="n">
        <v>117</v>
      </c>
      <c r="B118" s="3" t="inlineStr">
        <is>
          <t>VMCAI</t>
        </is>
      </c>
      <c r="C118" s="4" t="inlineStr">
        <is>
          <t>International Conference on Verification, Model Checking, and Abstract Interpretation</t>
        </is>
      </c>
      <c r="D118" s="4" t="inlineStr">
        <is>
          <t>程序验证专题会，抽象解释、模型检验与不变式生成</t>
        </is>
      </c>
      <c r="E118" s="2" t="inlineStr">
        <is>
          <t>软件工程/系统软件</t>
        </is>
      </c>
      <c r="F118" s="13" t="inlineStr">
        <is>
          <t>B</t>
        </is>
      </c>
      <c r="G118" s="6">
        <f>IF(ISNUMBER(H118),IF(N(INDEX('_轮次'!$N$118:$Y$118,MATCH(H118,'_轮次'!$B$118:$M$118,0)))=0,"—",INDEX('_轮次'!$N$118:$Y$118,MATCH(H118,'_轮次'!$B$118:$M$118,0))),"—")</f>
        <v/>
      </c>
      <c r="H118" s="6">
        <f>IF(COUNT('_轮次'!$B$118:$M$118)=0,"待公布",IF(COUNTIF('_轮次'!$B$118:$M$118,"&gt;"&amp;'_轮次'!$A$1)&gt;0,SMALL('_轮次'!$B$118:$M$118,COUNTIF('_轮次'!$B$118:$M$118,"&lt;="&amp;'_轮次'!$A$1)+1),MAX('_轮次'!$B$118:$M$118)))</f>
        <v/>
      </c>
      <c r="I118" s="7">
        <f>IF(ISNUMBER(H118),INDEX('_轮次'!$AX$118:$BI$118,MATCH(H118,'_轮次'!$B$118:$M$118,0)),"—")</f>
        <v/>
      </c>
      <c r="J118" s="2" t="inlineStr">
        <is>
          <t>AoE</t>
        </is>
      </c>
      <c r="K118" s="6">
        <f>IF(ISNUMBER(H118),IF(N(INDEX('_轮次'!$Z$118:$AK$118,MATCH(H118,'_轮次'!$B$118:$M$118,0)))=0,"—",INDEX('_轮次'!$Z$118:$AK$118,MATCH(H118,'_轮次'!$B$118:$M$118,0))),"—")</f>
        <v/>
      </c>
      <c r="L118" s="6">
        <f>IF(ISNUMBER(H118),IF(N(INDEX('_轮次'!$AL$118:$AW$118,MATCH(H118,'_轮次'!$B$118:$M$118,0)))=0,"—",INDEX('_轮次'!$AL$118:$AW$118,MATCH(H118,'_轮次'!$B$118:$M$118,0))),"—")</f>
        <v/>
      </c>
      <c r="M118" s="2">
        <f>IF(ISNUMBER(H118),IF(H118&gt;'_轮次'!$A$1,"未截止","已截止"),"TBD")</f>
        <v/>
      </c>
      <c r="N118" s="2">
        <f>IF(ISNUMBER(H118),IF(H118&gt;'_轮次'!$A$1,INT(H118-'_轮次'!$A$1),"—"),"—")</f>
        <v/>
      </c>
      <c r="O118" s="7" t="inlineStr">
        <is>
          <t>January 11-12, 2027</t>
        </is>
      </c>
      <c r="P118" s="4" t="inlineStr">
        <is>
          <t>Mexico City, Mexico</t>
        </is>
      </c>
      <c r="Q118" s="2" t="inlineStr">
        <is>
          <t>线下</t>
        </is>
      </c>
      <c r="R118" s="7" t="inlineStr">
        <is>
          <t>必须到场</t>
        </is>
      </c>
      <c r="S118" s="4" t="inlineStr">
        <is>
          <t>纯线下，无virtual选项</t>
        </is>
      </c>
      <c r="T118" s="2" t="inlineStr">
        <is>
          <t>不限</t>
        </is>
      </c>
      <c r="U118" s="2" t="inlineStr">
        <is>
          <t>—</t>
        </is>
      </c>
      <c r="V118" s="4" t="inlineStr">
        <is>
          <t>未找到</t>
        </is>
      </c>
      <c r="W118" s="2" t="inlineStr">
        <is>
          <t>已核实</t>
        </is>
      </c>
      <c r="X118" s="4" t="inlineStr">
        <is>
          <t>新人条款</t>
        </is>
      </c>
      <c r="Y118" s="7" t="inlineStr">
        <is>
          <t>https://conf.researchr.org/home/VMCAI-2027</t>
        </is>
      </c>
      <c r="Z118" s="4" t="inlineStr">
        <is>
          <t>与 CAV、TACAS 主题重叠，规模较小；核查:明确要求至少一位作者注册并现场报告；全部轮次 Paper Registration:2026-09-24 / Paper Submission:2026-10-01</t>
        </is>
      </c>
    </row>
    <row r="119" ht="32" customHeight="1">
      <c r="A119" s="8" t="n">
        <v>118</v>
      </c>
      <c r="B119" s="9" t="inlineStr">
        <is>
          <t>AISTATS</t>
        </is>
      </c>
      <c r="C119" s="10" t="inlineStr">
        <is>
          <t>International Conference on Artificial Intelligence and Statistics</t>
        </is>
      </c>
      <c r="D119" s="10" t="inlineStr">
        <is>
          <t>统计学习与概率方法，理论、贝叶斯推断与算法实证</t>
        </is>
      </c>
      <c r="E119" s="8" t="inlineStr">
        <is>
          <t>人工智能</t>
        </is>
      </c>
      <c r="F119" s="14" t="inlineStr">
        <is>
          <t>C</t>
        </is>
      </c>
      <c r="G119" s="11" t="n">
        <v>46295.83263888889</v>
      </c>
      <c r="H119" s="11" t="n">
        <v>46302.83263888889</v>
      </c>
      <c r="I119" s="12" t="inlineStr">
        <is>
          <t>单轮</t>
        </is>
      </c>
      <c r="J119" s="8" t="inlineStr">
        <is>
          <t>UTC-12</t>
        </is>
      </c>
      <c r="K119" s="11" t="n">
        <v>46349.83263888889</v>
      </c>
      <c r="L119" s="11" t="inlineStr">
        <is>
          <t>2027-01-20</t>
        </is>
      </c>
      <c r="M119" s="8">
        <f>IF(ISNUMBER(H119),IF(H119&gt;'_轮次'!$A$1,"未截止","已截止"),"TBD")</f>
        <v/>
      </c>
      <c r="N119" s="8">
        <f>IF(ISNUMBER(H119),IF(H119&gt;'_轮次'!$A$1,INT(H119-'_轮次'!$A$1),"—"),"—")</f>
        <v/>
      </c>
      <c r="O119" s="12" t="inlineStr">
        <is>
          <t>May 3-6, 2027</t>
        </is>
      </c>
      <c r="P119" s="10" t="inlineStr">
        <is>
          <t>Montréal, Canada</t>
        </is>
      </c>
      <c r="Q119" s="8" t="inlineStr">
        <is>
          <t>线下</t>
        </is>
      </c>
      <c r="R119" s="12" t="inlineStr">
        <is>
          <t>必须到场</t>
        </is>
      </c>
      <c r="S119" s="10" t="inlineStr">
        <is>
          <t>不设线上参会通道</t>
        </is>
      </c>
      <c r="T119" s="8" t="inlineStr">
        <is>
          <t>不限</t>
        </is>
      </c>
      <c r="U119" s="8" t="inlineStr">
        <is>
          <t>—</t>
        </is>
      </c>
      <c r="V119" s="10" t="inlineStr">
        <is>
          <t>硬性｜每篇须提名一名作者任互惠审稿人，缺失可 desk-reject</t>
        </is>
      </c>
      <c r="W119" s="8" t="inlineStr">
        <is>
          <t>已核实</t>
        </is>
      </c>
      <c r="X119" s="10" t="inlineStr">
        <is>
          <t>—</t>
        </is>
      </c>
      <c r="Y119" s="12" t="inlineStr">
        <is>
          <t>https://virtual.aistats.org/Conferences/2027</t>
        </is>
      </c>
      <c r="Z119" s="10" t="inlineStr">
        <is>
          <t>PMLR 出版，与 ICML 方向重叠；核查:摘要2026-09-29；主会投稿已关闭</t>
        </is>
      </c>
    </row>
    <row r="120" ht="32" customHeight="1">
      <c r="A120" s="2" t="n">
        <v>119</v>
      </c>
      <c r="B120" s="3" t="inlineStr">
        <is>
          <t>ALT</t>
        </is>
      </c>
      <c r="C120" s="4" t="inlineStr">
        <is>
          <t>International Conference on Algorithmic Learning Theory</t>
        </is>
      </c>
      <c r="D120" s="4" t="inlineStr">
        <is>
          <t>学习理论专题会，在线学习、泛化界与可学习性分析</t>
        </is>
      </c>
      <c r="E120" s="2" t="inlineStr">
        <is>
          <t>人工智能</t>
        </is>
      </c>
      <c r="F120" s="14" t="inlineStr">
        <is>
          <t>C</t>
        </is>
      </c>
      <c r="G120" s="6" t="inlineStr">
        <is>
          <t>—</t>
        </is>
      </c>
      <c r="H120" s="6" t="n">
        <v>46308.83263888889</v>
      </c>
      <c r="I120" s="7" t="inlineStr">
        <is>
          <t>单轮</t>
        </is>
      </c>
      <c r="J120" s="2" t="inlineStr">
        <is>
          <t>AoE</t>
        </is>
      </c>
      <c r="K120" s="6" t="n">
        <v>46363.83263888889</v>
      </c>
      <c r="L120" s="6" t="n">
        <v>46393.83263888889</v>
      </c>
      <c r="M120" s="2">
        <f>IF(ISNUMBER(H120),IF(H120&gt;'_轮次'!$A$1,"未截止","已截止"),"TBD")</f>
        <v/>
      </c>
      <c r="N120" s="2">
        <f>IF(ISNUMBER(H120),IF(H120&gt;'_轮次'!$A$1,INT(H120-'_轮次'!$A$1),"—"),"—")</f>
        <v/>
      </c>
      <c r="O120" s="7" t="inlineStr">
        <is>
          <t>March 9-12, 2027</t>
        </is>
      </c>
      <c r="P120" s="4" t="inlineStr">
        <is>
          <t>Leiden, Netherlands</t>
        </is>
      </c>
      <c r="Q120" s="2" t="inlineStr">
        <is>
          <t>线下</t>
        </is>
      </c>
      <c r="R120" s="7" t="inlineStr">
        <is>
          <t>待确认</t>
        </is>
      </c>
      <c r="S120" s="4" t="inlineStr">
        <is>
          <t>待确认</t>
        </is>
      </c>
      <c r="T120" s="2" t="inlineStr">
        <is>
          <t>不限</t>
        </is>
      </c>
      <c r="U120" s="2" t="inlineStr">
        <is>
          <t>—</t>
        </is>
      </c>
      <c r="V120" s="4" t="inlineStr">
        <is>
          <t>CFP未发布</t>
        </is>
      </c>
      <c r="W120" s="2" t="inlineStr">
        <is>
          <t>2027CFP未发布</t>
        </is>
      </c>
      <c r="X120" s="4" t="inlineStr">
        <is>
          <t>是否到场、新人条款</t>
        </is>
      </c>
      <c r="Y120" s="7" t="inlineStr">
        <is>
          <t>https://algorithmiclearningtheory.org/alt2027/</t>
        </is>
      </c>
      <c r="Z120" s="4" t="inlineStr">
        <is>
          <t>小会，理论性强，看重证明严谨度；核查:官网仅有会议标题，无征稿信息</t>
        </is>
      </c>
    </row>
    <row r="121" ht="32" customHeight="1">
      <c r="A121" s="8" t="n">
        <v>120</v>
      </c>
      <c r="B121" s="9" t="inlineStr">
        <is>
          <t>FG</t>
        </is>
      </c>
      <c r="C121" s="10" t="inlineStr">
        <is>
          <t>International Conference on Automatic Face and Gesture Recognition</t>
        </is>
      </c>
      <c r="D121" s="10" t="inlineStr">
        <is>
          <t>人脸识别、表情与手势分析为主，兼收多模态与生成方向</t>
        </is>
      </c>
      <c r="E121" s="8" t="inlineStr">
        <is>
          <t>人工智能</t>
        </is>
      </c>
      <c r="F121" s="14" t="inlineStr">
        <is>
          <t>C</t>
        </is>
      </c>
      <c r="G121" s="11" t="n">
        <v>46305.83263888889</v>
      </c>
      <c r="H121" s="11" t="n">
        <v>46312.83263888889</v>
      </c>
      <c r="I121" s="12" t="inlineStr">
        <is>
          <t>单轮</t>
        </is>
      </c>
      <c r="J121" s="8" t="inlineStr">
        <is>
          <t>AoE</t>
        </is>
      </c>
      <c r="K121" s="11" t="inlineStr">
        <is>
          <t>—</t>
        </is>
      </c>
      <c r="L121" s="11" t="inlineStr">
        <is>
          <t>2026-12-20</t>
        </is>
      </c>
      <c r="M121" s="8">
        <f>IF(ISNUMBER(H121),IF(H121&gt;'_轮次'!$A$1,"未截止","已截止"),"TBD")</f>
        <v/>
      </c>
      <c r="N121" s="8">
        <f>IF(ISNUMBER(H121),IF(H121&gt;'_轮次'!$A$1,INT(H121-'_轮次'!$A$1),"—"),"—")</f>
        <v/>
      </c>
      <c r="O121" s="12" t="inlineStr">
        <is>
          <t>April 26-30, 2027</t>
        </is>
      </c>
      <c r="P121" s="10" t="inlineStr">
        <is>
          <t>Marrakesh, Morocco</t>
        </is>
      </c>
      <c r="Q121" s="8" t="inlineStr">
        <is>
          <t>线下</t>
        </is>
      </c>
      <c r="R121" s="12" t="inlineStr">
        <is>
          <t>必须到场</t>
        </is>
      </c>
      <c r="S121" s="10" t="inlineStr">
        <is>
          <t>无线上参会，现场报告</t>
        </is>
      </c>
      <c r="T121" s="8" t="inlineStr">
        <is>
          <t>不限</t>
        </is>
      </c>
      <c r="U121" s="8" t="inlineStr">
        <is>
          <t>—</t>
        </is>
      </c>
      <c r="V121" s="10" t="inlineStr">
        <is>
          <t>无专属条款</t>
        </is>
      </c>
      <c r="W121" s="8" t="inlineStr">
        <is>
          <t>已核实</t>
        </is>
      </c>
      <c r="X121" s="10" t="inlineStr">
        <is>
          <t>—</t>
        </is>
      </c>
      <c r="Y121" s="12" t="inlineStr">
        <is>
          <t>https://fg2027.ieee-biometrics.org/</t>
        </is>
      </c>
      <c r="Z121" s="10" t="inlineStr">
        <is>
          <t>单轨小会，偏工程与数据集论文；核查:截稿由10/16延至10/23，in-person-only</t>
        </is>
      </c>
    </row>
    <row r="122" ht="32" customHeight="1">
      <c r="A122" s="2" t="n">
        <v>121</v>
      </c>
      <c r="B122" s="3" t="inlineStr">
        <is>
          <t>GECCO</t>
        </is>
      </c>
      <c r="C122" s="4" t="inlineStr">
        <is>
          <t>Genetic and Evolutionary Computation Conference</t>
        </is>
      </c>
      <c r="D122" s="4" t="inlineStr">
        <is>
          <t>进化计算与遗传算法旗舰会议，收算法设计、理论分析与应用</t>
        </is>
      </c>
      <c r="E122" s="2" t="inlineStr">
        <is>
          <t>人工智能</t>
        </is>
      </c>
      <c r="F122" s="14" t="inlineStr">
        <is>
          <t>C</t>
        </is>
      </c>
      <c r="G122" s="6" t="inlineStr">
        <is>
          <t>—</t>
        </is>
      </c>
      <c r="H122" s="6" t="inlineStr">
        <is>
          <t>待公布</t>
        </is>
      </c>
      <c r="I122" s="7" t="inlineStr">
        <is>
          <t>—</t>
        </is>
      </c>
      <c r="J122" s="2" t="inlineStr">
        <is>
          <t>AoE</t>
        </is>
      </c>
      <c r="K122" s="6" t="inlineStr">
        <is>
          <t>—</t>
        </is>
      </c>
      <c r="L122" s="6" t="inlineStr">
        <is>
          <t>待公布</t>
        </is>
      </c>
      <c r="M122" s="2">
        <f>IF(ISNUMBER(H122),IF(H122&gt;'_轮次'!$A$1,"未截止","已截止"),"TBD")</f>
        <v/>
      </c>
      <c r="N122" s="2">
        <f>IF(ISNUMBER(H122),IF(H122&gt;'_轮次'!$A$1,INT(H122-'_轮次'!$A$1),"—"),"—")</f>
        <v/>
      </c>
      <c r="O122" s="7" t="inlineStr">
        <is>
          <t>July 12-16, 2027</t>
        </is>
      </c>
      <c r="P122" s="4" t="inlineStr">
        <is>
          <t>Kraków, Poland</t>
        </is>
      </c>
      <c r="Q122" s="2" t="inlineStr">
        <is>
          <t>线下</t>
        </is>
      </c>
      <c r="R122" s="7" t="inlineStr">
        <is>
          <t>待确认</t>
        </is>
      </c>
      <c r="S122" s="4" t="inlineStr">
        <is>
          <t>待确认</t>
        </is>
      </c>
      <c r="T122" s="2" t="inlineStr">
        <is>
          <t>不限</t>
        </is>
      </c>
      <c r="U122" s="2" t="inlineStr">
        <is>
          <t>—</t>
        </is>
      </c>
      <c r="V122" s="4" t="inlineStr">
        <is>
          <t>CFP未发布</t>
        </is>
      </c>
      <c r="W122" s="2" t="inlineStr">
        <is>
          <t>2027CFP未发布</t>
        </is>
      </c>
      <c r="X122" s="4" t="inlineStr">
        <is>
          <t>截稿日、是否到场、新人条款</t>
        </is>
      </c>
      <c r="Y122" s="7" t="inlineStr">
        <is>
          <t>https://gecco-2027.sigevo.org/HomePage</t>
        </is>
      </c>
      <c r="Z122" s="4" t="inlineStr">
        <is>
          <t>分 full/short/poster 多档投稿；核查:官网标in person only；截稿日未公布</t>
        </is>
      </c>
    </row>
    <row r="123" ht="32" customHeight="1">
      <c r="A123" s="8" t="n">
        <v>122</v>
      </c>
      <c r="B123" s="9" t="inlineStr">
        <is>
          <t>ICDAR</t>
        </is>
      </c>
      <c r="C123" s="10" t="inlineStr">
        <is>
          <t>International Conference on Document Analysis and Recognition</t>
        </is>
      </c>
      <c r="D123" s="10" t="inlineStr">
        <is>
          <t>文档分析与识别专会，文字检测识别、版面理解与文档智能</t>
        </is>
      </c>
      <c r="E123" s="8" t="inlineStr">
        <is>
          <t>人工智能</t>
        </is>
      </c>
      <c r="F123" s="14" t="inlineStr">
        <is>
          <t>C</t>
        </is>
      </c>
      <c r="G123" s="11" t="n">
        <v>46419.83263888889</v>
      </c>
      <c r="H123" s="11" t="n">
        <v>46439.83263888889</v>
      </c>
      <c r="I123" s="12" t="inlineStr">
        <is>
          <t>单轮</t>
        </is>
      </c>
      <c r="J123" s="8" t="inlineStr">
        <is>
          <t>AoE</t>
        </is>
      </c>
      <c r="K123" s="11" t="n">
        <v>46505.83263888889</v>
      </c>
      <c r="L123" s="11" t="inlineStr">
        <is>
          <t>2027-05-15</t>
        </is>
      </c>
      <c r="M123" s="8">
        <f>IF(ISNUMBER(H123),IF(H123&gt;'_轮次'!$A$1,"未截止","已截止"),"TBD")</f>
        <v/>
      </c>
      <c r="N123" s="8">
        <f>IF(ISNUMBER(H123),IF(H123&gt;'_轮次'!$A$1,INT(H123-'_轮次'!$A$1),"—"),"—")</f>
        <v/>
      </c>
      <c r="O123" s="12" t="inlineStr">
        <is>
          <t>August 18 - 22, 2027</t>
        </is>
      </c>
      <c r="P123" s="10" t="inlineStr">
        <is>
          <t>Kuala Lumpur, Malaysia</t>
        </is>
      </c>
      <c r="Q123" s="8" t="inlineStr">
        <is>
          <t>线下</t>
        </is>
      </c>
      <c r="R123" s="12" t="inlineStr">
        <is>
          <t>必须到场</t>
        </is>
      </c>
      <c r="S123" s="10" t="inlineStr">
        <is>
          <t>待确认</t>
        </is>
      </c>
      <c r="T123" s="8" t="inlineStr">
        <is>
          <t>不限</t>
        </is>
      </c>
      <c r="U123" s="8" t="inlineStr">
        <is>
          <t>—</t>
        </is>
      </c>
      <c r="V123" s="10" t="inlineStr">
        <is>
          <t>未找到</t>
        </is>
      </c>
      <c r="W123" s="8" t="inlineStr">
        <is>
          <t>已核实</t>
        </is>
      </c>
      <c r="X123" s="10" t="inlineStr">
        <is>
          <t>新人条款</t>
        </is>
      </c>
      <c r="Y123" s="12" t="inlineStr">
        <is>
          <t>https://icdar2027.org/</t>
        </is>
      </c>
      <c r="Z123" s="10" t="inlineStr">
        <is>
          <t>两年一届，常设竞赛 track；核查:会期8/18-22；含IJDAR期刊轨11/15截稿</t>
        </is>
      </c>
    </row>
    <row r="124" ht="32" customHeight="1">
      <c r="A124" s="2" t="n">
        <v>123</v>
      </c>
      <c r="B124" s="3" t="inlineStr">
        <is>
          <t>ICPR</t>
        </is>
      </c>
      <c r="C124" s="4" t="inlineStr">
        <is>
          <t>International Conference on Pattern Recognition</t>
        </is>
      </c>
      <c r="D124" s="4" t="inlineStr">
        <is>
          <t>模式识别老牌综合会议，覆盖分类、检测与识别各方向</t>
        </is>
      </c>
      <c r="E124" s="2" t="inlineStr">
        <is>
          <t>人工智能</t>
        </is>
      </c>
      <c r="F124" s="14" t="inlineStr">
        <is>
          <t>C</t>
        </is>
      </c>
      <c r="G124" s="6" t="n">
        <v>46448.83263888889</v>
      </c>
      <c r="H124" s="6" t="n">
        <v>46455.83263888889</v>
      </c>
      <c r="I124" s="7" t="inlineStr">
        <is>
          <t>All dates tentative; March 1 is paper registration; author rebuttal April 23 (provisional, cutoff unspecified)</t>
        </is>
      </c>
      <c r="J124" s="2" t="inlineStr">
        <is>
          <t>AoE</t>
        </is>
      </c>
      <c r="K124" s="6" t="inlineStr">
        <is>
          <t>—</t>
        </is>
      </c>
      <c r="L124" s="6" t="inlineStr">
        <is>
          <t>2027-05-31</t>
        </is>
      </c>
      <c r="M124" s="2">
        <f>IF(ISNUMBER(H124),IF(H124&gt;'_轮次'!$A$1,"未截止","已截止"),"TBD")</f>
        <v/>
      </c>
      <c r="N124" s="2">
        <f>IF(ISNUMBER(H124),IF(H124&gt;'_轮次'!$A$1,INT(H124-'_轮次'!$A$1),"—"),"—")</f>
        <v/>
      </c>
      <c r="O124" s="7" t="inlineStr">
        <is>
          <t>October 4-6 and 14-15, 2027</t>
        </is>
      </c>
      <c r="P124" s="4" t="inlineStr">
        <is>
          <t>Online</t>
        </is>
      </c>
      <c r="Q124" s="2" t="inlineStr">
        <is>
          <t>纯线上</t>
        </is>
      </c>
      <c r="R124" s="7" t="inlineStr">
        <is>
          <t>允许远程</t>
        </is>
      </c>
      <c r="S124" s="4" t="inlineStr">
        <is>
          <t>全虚拟线上会议，注册费低</t>
        </is>
      </c>
      <c r="T124" s="2" t="inlineStr">
        <is>
          <t>不限</t>
        </is>
      </c>
      <c r="U124" s="2" t="inlineStr">
        <is>
          <t>—</t>
        </is>
      </c>
      <c r="V124" s="4" t="inlineStr">
        <is>
          <t>未找到</t>
        </is>
      </c>
      <c r="W124" s="2" t="inlineStr">
        <is>
          <t>已核实</t>
        </is>
      </c>
      <c r="X124" s="4" t="inlineStr">
        <is>
          <t>新人条款</t>
        </is>
      </c>
      <c r="Y124" s="7" t="inlineStr">
        <is>
          <t>https://www.icpr2027.com/</t>
        </is>
      </c>
      <c r="Z124" s="4" t="inlineStr">
        <is>
          <t>两年一届，接收率相对友好；核查:首次全虚拟ICPR，日期标注为暂定</t>
        </is>
      </c>
    </row>
    <row r="125" ht="32" customHeight="1">
      <c r="A125" s="8" t="n">
        <v>124</v>
      </c>
      <c r="B125" s="9" t="inlineStr">
        <is>
          <t>IEEE CEC</t>
        </is>
      </c>
      <c r="C125" s="10" t="inlineStr">
        <is>
          <t>IEEE Congress on Evolutionary Computation</t>
        </is>
      </c>
      <c r="D125" s="10" t="inlineStr">
        <is>
          <t>进化计算大型年会，含群智能、多目标优化与实际应用</t>
        </is>
      </c>
      <c r="E125" s="8" t="inlineStr">
        <is>
          <t>人工智能</t>
        </is>
      </c>
      <c r="F125" s="14" t="inlineStr">
        <is>
          <t>C</t>
        </is>
      </c>
      <c r="G125" s="11" t="inlineStr">
        <is>
          <t>—</t>
        </is>
      </c>
      <c r="H125" s="11" t="n">
        <v>46447.83263888889</v>
      </c>
      <c r="I125" s="12" t="inlineStr">
        <is>
          <t>单轮</t>
        </is>
      </c>
      <c r="J125" s="8" t="inlineStr">
        <is>
          <t>UTC-12</t>
        </is>
      </c>
      <c r="K125" s="11" t="inlineStr">
        <is>
          <t>—</t>
        </is>
      </c>
      <c r="L125" s="11" t="inlineStr">
        <is>
          <t>2027-04-07</t>
        </is>
      </c>
      <c r="M125" s="8">
        <f>IF(ISNUMBER(H125),IF(H125&gt;'_轮次'!$A$1,"未截止","已截止"),"TBD")</f>
        <v/>
      </c>
      <c r="N125" s="8">
        <f>IF(ISNUMBER(H125),IF(H125&gt;'_轮次'!$A$1,INT(H125-'_轮次'!$A$1),"—"),"—")</f>
        <v/>
      </c>
      <c r="O125" s="12" t="inlineStr">
        <is>
          <t>July 25-28, 2027</t>
        </is>
      </c>
      <c r="P125" s="10" t="inlineStr">
        <is>
          <t>Edinburgh, Scotland, UK</t>
        </is>
      </c>
      <c r="Q125" s="8" t="inlineStr">
        <is>
          <t>线下</t>
        </is>
      </c>
      <c r="R125" s="12" t="inlineStr">
        <is>
          <t>必须到场</t>
        </is>
      </c>
      <c r="S125" s="10" t="inlineStr">
        <is>
          <t>待确认</t>
        </is>
      </c>
      <c r="T125" s="8" t="inlineStr">
        <is>
          <t>不限</t>
        </is>
      </c>
      <c r="U125" s="8" t="inlineStr">
        <is>
          <t>—</t>
        </is>
      </c>
      <c r="V125" s="10" t="inlineStr">
        <is>
          <t>未找到</t>
        </is>
      </c>
      <c r="W125" s="8" t="inlineStr">
        <is>
          <t>已核实</t>
        </is>
      </c>
      <c r="X125" s="10" t="inlineStr">
        <is>
          <t>新人条款</t>
        </is>
      </c>
      <c r="Y125" s="12" t="inlineStr">
        <is>
          <t>https://ieeecec.org/2027</t>
        </is>
      </c>
      <c r="Z125" s="10" t="inlineStr">
        <is>
          <t>偶数年与 WCCI 合办；核查:另有短论文轨3/15截稿；明确不延期</t>
        </is>
      </c>
    </row>
    <row r="126" ht="32" customHeight="1">
      <c r="A126" s="2" t="n">
        <v>125</v>
      </c>
      <c r="B126" s="3" t="inlineStr">
        <is>
          <t>IJCNN</t>
        </is>
      </c>
      <c r="C126" s="4" t="inlineStr">
        <is>
          <t>International Joint Conference on Neural Networks</t>
        </is>
      </c>
      <c r="D126" s="4" t="inlineStr">
        <is>
          <t>神经网络综合会议，覆盖网络结构、学习理论与应用</t>
        </is>
      </c>
      <c r="E126" s="2" t="inlineStr">
        <is>
          <t>人工智能</t>
        </is>
      </c>
      <c r="F126" s="14" t="inlineStr">
        <is>
          <t>C</t>
        </is>
      </c>
      <c r="G126" s="6" t="inlineStr">
        <is>
          <t>—</t>
        </is>
      </c>
      <c r="H126" s="6" t="n">
        <v>46419.83263888889</v>
      </c>
      <c r="I126" s="7" t="inlineStr">
        <is>
          <t>单轮</t>
        </is>
      </c>
      <c r="J126" s="2" t="inlineStr">
        <is>
          <t>UTC-12</t>
        </is>
      </c>
      <c r="K126" s="6" t="inlineStr">
        <is>
          <t>—</t>
        </is>
      </c>
      <c r="L126" s="6" t="inlineStr">
        <is>
          <t>2027-03-15</t>
        </is>
      </c>
      <c r="M126" s="2">
        <f>IF(ISNUMBER(H126),IF(H126&gt;'_轮次'!$A$1,"未截止","已截止"),"TBD")</f>
        <v/>
      </c>
      <c r="N126" s="2">
        <f>IF(ISNUMBER(H126),IF(H126&gt;'_轮次'!$A$1,INT(H126-'_轮次'!$A$1),"—"),"—")</f>
        <v/>
      </c>
      <c r="O126" s="7" t="inlineStr">
        <is>
          <t>June 14 - 18, 2027</t>
        </is>
      </c>
      <c r="P126" s="4" t="inlineStr">
        <is>
          <t>Cape Town, South Africa</t>
        </is>
      </c>
      <c r="Q126" s="2" t="inlineStr">
        <is>
          <t>线下</t>
        </is>
      </c>
      <c r="R126" s="7" t="inlineStr">
        <is>
          <t>必须到场</t>
        </is>
      </c>
      <c r="S126" s="4" t="inlineStr">
        <is>
          <t>待确认</t>
        </is>
      </c>
      <c r="T126" s="2" t="inlineStr">
        <is>
          <t>不限</t>
        </is>
      </c>
      <c r="U126" s="2" t="inlineStr">
        <is>
          <t>—</t>
        </is>
      </c>
      <c r="V126" s="4" t="inlineStr">
        <is>
          <t>无专属条款</t>
        </is>
      </c>
      <c r="W126" s="2" t="inlineStr">
        <is>
          <t>已核实</t>
        </is>
      </c>
      <c r="X126" s="4" t="inlineStr">
        <is>
          <t>—</t>
        </is>
      </c>
      <c r="Y126" s="7" t="inlineStr">
        <is>
          <t>https://ijcnn.org/2027</t>
        </is>
      </c>
      <c r="Z126" s="4" t="inlineStr">
        <is>
          <t>规模大、方向散，投稿前先对 track；核查:全文限6页IEEE双栏；12/01开放投稿</t>
        </is>
      </c>
    </row>
    <row r="127" ht="32" customHeight="1">
      <c r="A127" s="8" t="n">
        <v>126</v>
      </c>
      <c r="B127" s="9" t="inlineStr">
        <is>
          <t>IROS</t>
        </is>
      </c>
      <c r="C127" s="10" t="inlineStr">
        <is>
          <t>IEEE/RSJ International Conference on Intelligent Robots and Systems</t>
        </is>
      </c>
      <c r="D127" s="10" t="inlineStr">
        <is>
          <t>智能机器人与系统大会，收感知、规划控制与具身应用</t>
        </is>
      </c>
      <c r="E127" s="8" t="inlineStr">
        <is>
          <t>人工智能</t>
        </is>
      </c>
      <c r="F127" s="14" t="inlineStr">
        <is>
          <t>C</t>
        </is>
      </c>
      <c r="G127" s="11" t="inlineStr">
        <is>
          <t>—</t>
        </is>
      </c>
      <c r="H127" s="11" t="n">
        <v>46448.83263888889</v>
      </c>
      <c r="I127" s="12" t="inlineStr">
        <is>
          <t>Paper submission deadline: March 1, 2027; exact cutoff time and timezone not specified on the official IEEE RAS event page</t>
        </is>
      </c>
      <c r="J127" s="8" t="inlineStr">
        <is>
          <t>AoE</t>
        </is>
      </c>
      <c r="K127" s="11" t="inlineStr">
        <is>
          <t>—</t>
        </is>
      </c>
      <c r="L127" s="11" t="inlineStr">
        <is>
          <t>待公布</t>
        </is>
      </c>
      <c r="M127" s="8">
        <f>IF(ISNUMBER(H127),IF(H127&gt;'_轮次'!$A$1,"未截止","已截止"),"TBD")</f>
        <v/>
      </c>
      <c r="N127" s="8">
        <f>IF(ISNUMBER(H127),IF(H127&gt;'_轮次'!$A$1,INT(H127-'_轮次'!$A$1),"—"),"—")</f>
        <v/>
      </c>
      <c r="O127" s="12" t="inlineStr">
        <is>
          <t>September 26 - October 1, 2027</t>
        </is>
      </c>
      <c r="P127" s="10" t="inlineStr">
        <is>
          <t>Florence, Italy</t>
        </is>
      </c>
      <c r="Q127" s="8" t="inlineStr">
        <is>
          <t>线下</t>
        </is>
      </c>
      <c r="R127" s="12" t="inlineStr">
        <is>
          <t>必须到场</t>
        </is>
      </c>
      <c r="S127" s="10" t="inlineStr">
        <is>
          <t>待确认</t>
        </is>
      </c>
      <c r="T127" s="8" t="inlineStr">
        <is>
          <t>不限</t>
        </is>
      </c>
      <c r="U127" s="8" t="inlineStr">
        <is>
          <t>—</t>
        </is>
      </c>
      <c r="V127" s="10" t="inlineStr">
        <is>
          <t>CFP未发布</t>
        </is>
      </c>
      <c r="W127" s="8" t="inlineStr">
        <is>
          <t>2027CFP未发布</t>
        </is>
      </c>
      <c r="X127" s="10" t="inlineStr">
        <is>
          <t>新人条款</t>
        </is>
      </c>
      <c r="Y127" s="12" t="inlineStr">
        <is>
          <t>https://2027.ieee-iros.org/</t>
        </is>
      </c>
      <c r="Z127" s="10" t="inlineStr">
        <is>
          <t>超页付费，重视实机实验；核查:官网仅公布会期9/27-10/1，截稿日未发布</t>
        </is>
      </c>
    </row>
    <row r="128" ht="32" customHeight="1">
      <c r="A128" s="2" t="n">
        <v>127</v>
      </c>
      <c r="B128" s="3" t="inlineStr">
        <is>
          <t>3DV</t>
        </is>
      </c>
      <c r="C128" s="4" t="inlineStr">
        <is>
          <t>International Conference on 3D Vision</t>
        </is>
      </c>
      <c r="D128" s="4" t="inlineStr">
        <is>
          <t>三维视觉专会，收重建、表示、渲染与三维理解</t>
        </is>
      </c>
      <c r="E128" s="2" t="inlineStr">
        <is>
          <t>图形学与多媒体</t>
        </is>
      </c>
      <c r="F128" s="14" t="inlineStr">
        <is>
          <t>C</t>
        </is>
      </c>
      <c r="G128" s="6" t="n">
        <v>46263.83263888889</v>
      </c>
      <c r="H128" s="6" t="n">
        <v>46263.83263888889</v>
      </c>
      <c r="I128" s="7" t="inlineStr">
        <is>
          <t>Regular-paper abstract registration and paper submission are both due Aug 28.</t>
        </is>
      </c>
      <c r="J128" s="2" t="inlineStr">
        <is>
          <t>AoE</t>
        </is>
      </c>
      <c r="K128" s="6" t="inlineStr">
        <is>
          <t>—</t>
        </is>
      </c>
      <c r="L128" s="6" t="inlineStr">
        <is>
          <t>2026-12-02</t>
        </is>
      </c>
      <c r="M128" s="2">
        <f>IF(ISNUMBER(H128),IF(H128&gt;'_轮次'!$A$1,"未截止","已截止"),"TBD")</f>
        <v/>
      </c>
      <c r="N128" s="2">
        <f>IF(ISNUMBER(H128),IF(H128&gt;'_轮次'!$A$1,INT(H128-'_轮次'!$A$1),"—"),"—")</f>
        <v/>
      </c>
      <c r="O128" s="7" t="inlineStr">
        <is>
          <t>April 6-9, 2027</t>
        </is>
      </c>
      <c r="P128" s="4" t="inlineStr">
        <is>
          <t>Thessaloniki, Greece</t>
        </is>
      </c>
      <c r="Q128" s="2" t="inlineStr">
        <is>
          <t>线下</t>
        </is>
      </c>
      <c r="R128" s="7" t="inlineStr">
        <is>
          <t>必须到场</t>
        </is>
      </c>
      <c r="S128" s="4" t="inlineStr">
        <is>
          <t>待确认</t>
        </is>
      </c>
      <c r="T128" s="2" t="inlineStr">
        <is>
          <t>不限</t>
        </is>
      </c>
      <c r="U128" s="2" t="inlineStr">
        <is>
          <t>—</t>
        </is>
      </c>
      <c r="V128" s="4" t="inlineStr">
        <is>
          <t>利好｜通道 Mentoring sessions</t>
        </is>
      </c>
      <c r="W128" s="2" t="inlineStr">
        <is>
          <t>已核实</t>
        </is>
      </c>
      <c r="X128" s="4" t="inlineStr">
        <is>
          <t>—</t>
        </is>
      </c>
      <c r="Y128" s="7" t="inlineStr">
        <is>
          <t>https://3dvconf.github.io/2027/</t>
        </is>
      </c>
      <c r="Z128" s="4" t="inlineStr">
        <is>
          <t>小会，审稿意见质量波动较大；核查:两阶段通知：10-27初步、12-02最终；主页写明in-person举办</t>
        </is>
      </c>
    </row>
    <row r="129" ht="32" customHeight="1">
      <c r="A129" s="8" t="n">
        <v>128</v>
      </c>
      <c r="B129" s="9" t="inlineStr">
        <is>
          <t>CGI</t>
        </is>
      </c>
      <c r="C129" s="10" t="inlineStr">
        <is>
          <t>Computer Graphics International</t>
        </is>
      </c>
      <c r="D129" s="10" t="inlineStr">
        <is>
          <t>计算机图形学综合会议，建模、渲染、动画与可视化</t>
        </is>
      </c>
      <c r="E129" s="8" t="inlineStr">
        <is>
          <t>图形学与多媒体</t>
        </is>
      </c>
      <c r="F129" s="14" t="inlineStr">
        <is>
          <t>C</t>
        </is>
      </c>
      <c r="G129" s="11" t="inlineStr">
        <is>
          <t>—</t>
        </is>
      </c>
      <c r="H129" s="11" t="n">
        <v>46498.33263888889</v>
      </c>
      <c r="I129" s="12" t="inlineStr">
        <is>
          <t>Regular conference papers (LNCS proceedings track)</t>
        </is>
      </c>
      <c r="J129" s="8" t="inlineStr">
        <is>
          <t>UTC</t>
        </is>
      </c>
      <c r="K129" s="11" t="inlineStr">
        <is>
          <t>—</t>
        </is>
      </c>
      <c r="L129" s="11" t="inlineStr">
        <is>
          <t>2027-05-10</t>
        </is>
      </c>
      <c r="M129" s="8">
        <f>IF(ISNUMBER(H129),IF(H129&gt;'_轮次'!$A$1,"未截止","已截止"),"TBD")</f>
        <v/>
      </c>
      <c r="N129" s="8">
        <f>IF(ISNUMBER(H129),IF(H129&gt;'_轮次'!$A$1,INT(H129-'_轮次'!$A$1),"—"),"—")</f>
        <v/>
      </c>
      <c r="O129" s="12" t="inlineStr">
        <is>
          <t>July 5-9, 2027</t>
        </is>
      </c>
      <c r="P129" s="10" t="inlineStr">
        <is>
          <t>Cairns, Australia</t>
        </is>
      </c>
      <c r="Q129" s="8" t="inlineStr">
        <is>
          <t>线下</t>
        </is>
      </c>
      <c r="R129" s="12" t="inlineStr">
        <is>
          <t>待确认</t>
        </is>
      </c>
      <c r="S129" s="10" t="inlineStr">
        <is>
          <t>待确认</t>
        </is>
      </c>
      <c r="T129" s="8" t="inlineStr">
        <is>
          <t>不限</t>
        </is>
      </c>
      <c r="U129" s="8" t="inlineStr">
        <is>
          <t>—</t>
        </is>
      </c>
      <c r="V129" s="10" t="inlineStr">
        <is>
          <t>未找到</t>
        </is>
      </c>
      <c r="W129" s="8" t="inlineStr">
        <is>
          <t>已核实</t>
        </is>
      </c>
      <c r="X129" s="10" t="inlineStr">
        <is>
          <t>是否到场、新人条款</t>
        </is>
      </c>
      <c r="Y129" s="12" t="inlineStr">
        <is>
          <t>https://cgs-network.org/cgi27/</t>
        </is>
      </c>
      <c r="Z129" s="10" t="inlineStr">
        <is>
          <t>Springer 出版，年限与页数常变；核查:双轨：TVC轨2-28截稿、5-10录用；LNCS轨4-20截稿、5-31录用</t>
        </is>
      </c>
    </row>
    <row r="130" ht="32" customHeight="1">
      <c r="A130" s="2" t="n">
        <v>129</v>
      </c>
      <c r="B130" s="3" t="inlineStr">
        <is>
          <t>CVM</t>
        </is>
      </c>
      <c r="C130" s="4" t="inlineStr">
        <is>
          <t>The international conference on Computational Visual Media</t>
        </is>
      </c>
      <c r="D130" s="4" t="inlineStr">
        <is>
          <t>计算视觉媒体交叉会议，图形与视觉融合，重三维与生成</t>
        </is>
      </c>
      <c r="E130" s="2" t="inlineStr">
        <is>
          <t>图形学与多媒体</t>
        </is>
      </c>
      <c r="F130" s="14" t="inlineStr">
        <is>
          <t>C</t>
        </is>
      </c>
      <c r="G130" s="6" t="n">
        <v>46319.33263888889</v>
      </c>
      <c r="H130" s="6" t="n">
        <v>46322.33263888889</v>
      </c>
      <c r="I130" s="7" t="inlineStr">
        <is>
          <t>单轮</t>
        </is>
      </c>
      <c r="J130" s="2" t="inlineStr">
        <is>
          <t>UTC+0</t>
        </is>
      </c>
      <c r="K130" s="6" t="inlineStr">
        <is>
          <t>—</t>
        </is>
      </c>
      <c r="L130" s="6" t="inlineStr">
        <is>
          <t>2026-12-15</t>
        </is>
      </c>
      <c r="M130" s="2">
        <f>IF(ISNUMBER(H130),IF(H130&gt;'_轮次'!$A$1,"未截止","已截止"),"TBD")</f>
        <v/>
      </c>
      <c r="N130" s="2">
        <f>IF(ISNUMBER(H130),IF(H130&gt;'_轮次'!$A$1,INT(H130-'_轮次'!$A$1),"—"),"—")</f>
        <v/>
      </c>
      <c r="O130" s="7" t="inlineStr">
        <is>
          <t>April 9-11, 2027</t>
        </is>
      </c>
      <c r="P130" s="4" t="inlineStr">
        <is>
          <t>Nanyang Technological University, Singapore</t>
        </is>
      </c>
      <c r="Q130" s="2" t="inlineStr">
        <is>
          <t>线下</t>
        </is>
      </c>
      <c r="R130" s="7" t="inlineStr">
        <is>
          <t>待确认</t>
        </is>
      </c>
      <c r="S130" s="4" t="inlineStr">
        <is>
          <t>待确认</t>
        </is>
      </c>
      <c r="T130" s="2" t="inlineStr">
        <is>
          <t>不限</t>
        </is>
      </c>
      <c r="U130" s="2" t="inlineStr">
        <is>
          <t>—</t>
        </is>
      </c>
      <c r="V130" s="4" t="inlineStr">
        <is>
          <t>未找到</t>
        </is>
      </c>
      <c r="W130" s="2" t="inlineStr">
        <is>
          <t>已核实</t>
        </is>
      </c>
      <c r="X130" s="4" t="inlineStr">
        <is>
          <t>是否到场、新人条款</t>
        </is>
      </c>
      <c r="Y130" s="7" t="inlineStr">
        <is>
          <t>http://iccvm.org/2027/</t>
        </is>
      </c>
      <c r="Z130" s="4" t="inlineStr">
        <is>
          <t>国内主办，与期刊专辑联动；核查:摘要10-26（原10-23已延后），全文同10-26，23:59 GMT；重查:CFP 仅写 14 页上限与 10-26 23:59 GMT 截稿，未写到场与新人条款</t>
        </is>
      </c>
    </row>
    <row r="131" ht="32" customHeight="1">
      <c r="A131" s="8" t="n">
        <v>130</v>
      </c>
      <c r="B131" s="9" t="inlineStr">
        <is>
          <t>GMP</t>
        </is>
      </c>
      <c r="C131" s="10" t="inlineStr">
        <is>
          <t>International Conference on Geometric Modeling and Processing</t>
        </is>
      </c>
      <c r="D131" s="10" t="inlineStr">
        <is>
          <t>几何建模与处理专会，曲面重建、参数化与几何计算</t>
        </is>
      </c>
      <c r="E131" s="8" t="inlineStr">
        <is>
          <t>图形学与多媒体</t>
        </is>
      </c>
      <c r="F131" s="14" t="inlineStr">
        <is>
          <t>C</t>
        </is>
      </c>
      <c r="G131" s="11" t="n">
        <v>46371.33263888889</v>
      </c>
      <c r="H131" s="11" t="n">
        <v>46378.33263888889</v>
      </c>
      <c r="I131" s="12" t="inlineStr">
        <is>
          <t>单轮</t>
        </is>
      </c>
      <c r="J131" s="8" t="inlineStr">
        <is>
          <t>UTC</t>
        </is>
      </c>
      <c r="K131" s="11" t="inlineStr">
        <is>
          <t>—</t>
        </is>
      </c>
      <c r="L131" s="11" t="n">
        <v>46504.83263888889</v>
      </c>
      <c r="M131" s="8">
        <f>IF(ISNUMBER(H131),IF(H131&gt;'_轮次'!$A$1,"未截止","已截止"),"TBD")</f>
        <v/>
      </c>
      <c r="N131" s="8">
        <f>IF(ISNUMBER(H131),IF(H131&gt;'_轮次'!$A$1,INT(H131-'_轮次'!$A$1),"—"),"—")</f>
        <v/>
      </c>
      <c r="O131" s="12" t="inlineStr">
        <is>
          <t>June 21-25, 2027</t>
        </is>
      </c>
      <c r="P131" s="10" t="inlineStr">
        <is>
          <t>Singapore</t>
        </is>
      </c>
      <c r="Q131" s="8" t="inlineStr">
        <is>
          <t>线下</t>
        </is>
      </c>
      <c r="R131" s="12" t="inlineStr">
        <is>
          <t>待确认</t>
        </is>
      </c>
      <c r="S131" s="10" t="inlineStr">
        <is>
          <t>待确认</t>
        </is>
      </c>
      <c r="T131" s="8" t="inlineStr">
        <is>
          <t>不限</t>
        </is>
      </c>
      <c r="U131" s="8" t="inlineStr">
        <is>
          <t>—</t>
        </is>
      </c>
      <c r="V131" s="10" t="inlineStr">
        <is>
          <t>CFP未发布</t>
        </is>
      </c>
      <c r="W131" s="8" t="inlineStr">
        <is>
          <t>2027CFP未发布</t>
        </is>
      </c>
      <c r="X131" s="10" t="inlineStr">
        <is>
          <t>是否到场、新人条款</t>
        </is>
      </c>
      <c r="Y131" s="12" t="inlineStr">
        <is>
          <t>https://gmp-conference-2027.github.io/gmp2027/</t>
        </is>
      </c>
      <c r="Z131" s="10" t="inlineStr">
        <is>
          <t>常与 SMI 联办，规模很小；核查:官网仅剩标题，CFP子页404，未见任何日期</t>
        </is>
      </c>
    </row>
    <row r="132" ht="32" customHeight="1">
      <c r="A132" s="2" t="n">
        <v>131</v>
      </c>
      <c r="B132" s="3" t="inlineStr">
        <is>
          <t>ICIP</t>
        </is>
      </c>
      <c r="C132" s="4" t="inlineStr">
        <is>
          <t>The IEEE International Conference on Image Processing</t>
        </is>
      </c>
      <c r="D132" s="4" t="inlineStr">
        <is>
          <t>图像处理旗舰会议，收图像增强、复原、压缩与底层视觉</t>
        </is>
      </c>
      <c r="E132" s="2" t="inlineStr">
        <is>
          <t>图形学与多媒体</t>
        </is>
      </c>
      <c r="F132" s="14" t="inlineStr">
        <is>
          <t>C</t>
        </is>
      </c>
      <c r="G132" s="6" t="inlineStr">
        <is>
          <t>—</t>
        </is>
      </c>
      <c r="H132" s="6" t="n">
        <v>46478.83263888889</v>
      </c>
      <c r="I132" s="7" t="inlineStr">
        <is>
          <t>单轮</t>
        </is>
      </c>
      <c r="J132" s="2" t="inlineStr">
        <is>
          <t>AoE</t>
        </is>
      </c>
      <c r="K132" s="6" t="inlineStr">
        <is>
          <t>—</t>
        </is>
      </c>
      <c r="L132" s="6" t="inlineStr">
        <is>
          <t>待公布</t>
        </is>
      </c>
      <c r="M132" s="2">
        <f>IF(ISNUMBER(H132),IF(H132&gt;'_轮次'!$A$1,"未截止","已截止"),"TBD")</f>
        <v/>
      </c>
      <c r="N132" s="2">
        <f>IF(ISNUMBER(H132),IF(H132&gt;'_轮次'!$A$1,INT(H132-'_轮次'!$A$1),"—"),"—")</f>
        <v/>
      </c>
      <c r="O132" s="7" t="inlineStr">
        <is>
          <t>November 29-December 3, 2027</t>
        </is>
      </c>
      <c r="P132" s="4" t="inlineStr">
        <is>
          <t>Singapore</t>
        </is>
      </c>
      <c r="Q132" s="2" t="inlineStr">
        <is>
          <t>线下</t>
        </is>
      </c>
      <c r="R132" s="7" t="inlineStr">
        <is>
          <t>必须到场</t>
        </is>
      </c>
      <c r="S132" s="4" t="inlineStr">
        <is>
          <t>待确认</t>
        </is>
      </c>
      <c r="T132" s="2" t="inlineStr">
        <is>
          <t>不限</t>
        </is>
      </c>
      <c r="U132" s="2" t="inlineStr">
        <is>
          <t>—</t>
        </is>
      </c>
      <c r="V132" s="4" t="inlineStr">
        <is>
          <t>未找到</t>
        </is>
      </c>
      <c r="W132" s="2" t="inlineStr">
        <is>
          <t>未找到</t>
        </is>
      </c>
      <c r="X132" s="4" t="inlineStr">
        <is>
          <t>新人条款</t>
        </is>
      </c>
      <c r="Y132" s="7" t="inlineStr">
        <is>
          <t>https://2027.ieeeicip.org/</t>
        </is>
      </c>
      <c r="Z132" s="4" t="inlineStr">
        <is>
          <t>短文制，周期短适合快速产出；核查:CFP页误挂ICASSP2023旧内容，无2027投稿信息</t>
        </is>
      </c>
    </row>
    <row r="133" ht="32" customHeight="1">
      <c r="A133" s="8" t="n">
        <v>132</v>
      </c>
      <c r="B133" s="9" t="inlineStr">
        <is>
          <t>MMM</t>
        </is>
      </c>
      <c r="C133" s="10" t="inlineStr">
        <is>
          <t>International Conference on Multimedia Modeling</t>
        </is>
      </c>
      <c r="D133" s="10" t="inlineStr">
        <is>
          <t>多媒体建模会议，收多媒体分析、检索与跨媒体应用</t>
        </is>
      </c>
      <c r="E133" s="8" t="inlineStr">
        <is>
          <t>图形学与多媒体</t>
        </is>
      </c>
      <c r="F133" s="14" t="inlineStr">
        <is>
          <t>C</t>
        </is>
      </c>
      <c r="G133" s="11" t="inlineStr">
        <is>
          <t>—</t>
        </is>
      </c>
      <c r="H133" s="11" t="n">
        <v>46265.83263888889</v>
      </c>
      <c r="I133" s="12" t="inlineStr">
        <is>
          <t>Regular papers; extended deadline</t>
        </is>
      </c>
      <c r="J133" s="8" t="inlineStr">
        <is>
          <t>AoE</t>
        </is>
      </c>
      <c r="K133" s="11" t="inlineStr">
        <is>
          <t>—</t>
        </is>
      </c>
      <c r="L133" s="11" t="inlineStr">
        <is>
          <t>2026-10-19</t>
        </is>
      </c>
      <c r="M133" s="8">
        <f>IF(ISNUMBER(H133),IF(H133&gt;'_轮次'!$A$1,"未截止","已截止"),"TBD")</f>
        <v/>
      </c>
      <c r="N133" s="8">
        <f>IF(ISNUMBER(H133),IF(H133&gt;'_轮次'!$A$1,INT(H133-'_轮次'!$A$1),"—"),"—")</f>
        <v/>
      </c>
      <c r="O133" s="12" t="inlineStr">
        <is>
          <t>January 5-8, 2027</t>
        </is>
      </c>
      <c r="P133" s="10" t="inlineStr">
        <is>
          <t>Siem Reap, Cambodia</t>
        </is>
      </c>
      <c r="Q133" s="8" t="inlineStr">
        <is>
          <t>线下</t>
        </is>
      </c>
      <c r="R133" s="12" t="inlineStr">
        <is>
          <t>待确认</t>
        </is>
      </c>
      <c r="S133" s="10" t="inlineStr">
        <is>
          <t>待确认</t>
        </is>
      </c>
      <c r="T133" s="8" t="inlineStr">
        <is>
          <t>不限</t>
        </is>
      </c>
      <c r="U133" s="8" t="inlineStr">
        <is>
          <t>—</t>
        </is>
      </c>
      <c r="V133" s="10" t="inlineStr">
        <is>
          <t>未找到</t>
        </is>
      </c>
      <c r="W133" s="8" t="inlineStr">
        <is>
          <t>已核实</t>
        </is>
      </c>
      <c r="X133" s="10" t="inlineStr">
        <is>
          <t>是否到场、新人条款</t>
        </is>
      </c>
      <c r="Y133" s="12" t="inlineStr">
        <is>
          <t>https://www.mmm2027.net/</t>
        </is>
      </c>
      <c r="Z133" s="10" t="inlineStr">
        <is>
          <t>Springer LNCS，接收率中等偏高；核查:正则论文8-30，demo/VBS 9-22；会期2027-01-05至08</t>
        </is>
      </c>
    </row>
    <row r="134" ht="32" customHeight="1">
      <c r="A134" s="2" t="n">
        <v>133</v>
      </c>
      <c r="B134" s="3" t="inlineStr">
        <is>
          <t>PacificVis</t>
        </is>
      </c>
      <c r="C134" s="4" t="inlineStr">
        <is>
          <t>IEEE Pacific Visualization Symposium</t>
        </is>
      </c>
      <c r="D134" s="4" t="inlineStr">
        <is>
          <t>亚太可视化会议，收可视化方法、可视分析与评测研究</t>
        </is>
      </c>
      <c r="E134" s="2" t="inlineStr">
        <is>
          <t>图形学与多媒体</t>
        </is>
      </c>
      <c r="F134" s="14" t="inlineStr">
        <is>
          <t>C</t>
        </is>
      </c>
      <c r="G134" s="6" t="n">
        <v>46329.83263888889</v>
      </c>
      <c r="H134" s="6" t="n">
        <v>46336.83263888889</v>
      </c>
      <c r="I134" s="7" t="inlineStr">
        <is>
          <t>Conference track</t>
        </is>
      </c>
      <c r="J134" s="2" t="inlineStr">
        <is>
          <t>AoE</t>
        </is>
      </c>
      <c r="K134" s="6" t="inlineStr">
        <is>
          <t>—</t>
        </is>
      </c>
      <c r="L134" s="6" t="n">
        <v>46413.83263888889</v>
      </c>
      <c r="M134" s="2">
        <f>IF(ISNUMBER(H134),IF(H134&gt;'_轮次'!$A$1,"未截止","已截止"),"TBD")</f>
        <v/>
      </c>
      <c r="N134" s="2">
        <f>IF(ISNUMBER(H134),IF(H134&gt;'_轮次'!$A$1,INT(H134-'_轮次'!$A$1),"—"),"—")</f>
        <v/>
      </c>
      <c r="O134" s="7" t="inlineStr">
        <is>
          <t>April 19-22, 2027</t>
        </is>
      </c>
      <c r="P134" s="4" t="inlineStr">
        <is>
          <t>Busan, South Korea</t>
        </is>
      </c>
      <c r="Q134" s="2" t="inlineStr">
        <is>
          <t>线下</t>
        </is>
      </c>
      <c r="R134" s="7" t="inlineStr">
        <is>
          <t>必须到场</t>
        </is>
      </c>
      <c r="S134" s="4" t="inlineStr">
        <is>
          <t>待确认</t>
        </is>
      </c>
      <c r="T134" s="2" t="inlineStr">
        <is>
          <t>不限</t>
        </is>
      </c>
      <c r="U134" s="2" t="inlineStr">
        <is>
          <t>—</t>
        </is>
      </c>
      <c r="V134" s="4" t="inlineStr">
        <is>
          <t>未找到</t>
        </is>
      </c>
      <c r="W134" s="2" t="inlineStr">
        <is>
          <t>未找到</t>
        </is>
      </c>
      <c r="X134" s="4" t="inlineStr">
        <is>
          <t>新人条款</t>
        </is>
      </c>
      <c r="Y134" s="7" t="inlineStr">
        <is>
          <t>https://pacificvis2027.github.io/</t>
        </is>
      </c>
      <c r="Z134" s="4" t="inlineStr">
        <is>
          <t>TVCG 专辑 track 与会议 track 并行；核查:CFP已发布但子页404，未取到日期；重查:首页称各 CFP 已发布但未给链接，需人工进入</t>
        </is>
      </c>
    </row>
    <row r="135" ht="32" customHeight="1">
      <c r="A135" s="8" t="n">
        <v>134</v>
      </c>
      <c r="B135" s="9" t="inlineStr">
        <is>
          <t>SMI</t>
        </is>
      </c>
      <c r="C135" s="10" t="inlineStr">
        <is>
          <t>Shape Modeling International</t>
        </is>
      </c>
      <c r="D135" s="10" t="inlineStr">
        <is>
          <t>形状建模专会，几何造型、形状分析与数字化设计</t>
        </is>
      </c>
      <c r="E135" s="8" t="inlineStr">
        <is>
          <t>图形学与多媒体</t>
        </is>
      </c>
      <c r="F135" s="14" t="inlineStr">
        <is>
          <t>C</t>
        </is>
      </c>
      <c r="G135" s="11" t="n">
        <v>46448.33263888889</v>
      </c>
      <c r="H135" s="11" t="n">
        <v>46455.33263888889</v>
      </c>
      <c r="I135" s="12" t="inlineStr">
        <is>
          <t>Abstract submission is a soft deadline</t>
        </is>
      </c>
      <c r="J135" s="8" t="inlineStr">
        <is>
          <t>UTC</t>
        </is>
      </c>
      <c r="K135" s="11" t="inlineStr">
        <is>
          <t>—</t>
        </is>
      </c>
      <c r="L135" s="11" t="inlineStr">
        <is>
          <t>2027-05-03</t>
        </is>
      </c>
      <c r="M135" s="8">
        <f>IF(ISNUMBER(H135),IF(H135&gt;'_轮次'!$A$1,"未截止","已截止"),"TBD")</f>
        <v/>
      </c>
      <c r="N135" s="8">
        <f>IF(ISNUMBER(H135),IF(H135&gt;'_轮次'!$A$1,INT(H135-'_轮次'!$A$1),"—"),"—")</f>
        <v/>
      </c>
      <c r="O135" s="12" t="inlineStr">
        <is>
          <t>June 21-25, 2027</t>
        </is>
      </c>
      <c r="P135" s="10" t="inlineStr">
        <is>
          <t>Singapore</t>
        </is>
      </c>
      <c r="Q135" s="8" t="inlineStr">
        <is>
          <t>线下</t>
        </is>
      </c>
      <c r="R135" s="12" t="inlineStr">
        <is>
          <t>待确认</t>
        </is>
      </c>
      <c r="S135" s="10" t="inlineStr">
        <is>
          <t>待确认</t>
        </is>
      </c>
      <c r="T135" s="8" t="inlineStr">
        <is>
          <t>不限</t>
        </is>
      </c>
      <c r="U135" s="8" t="inlineStr">
        <is>
          <t>—</t>
        </is>
      </c>
      <c r="V135" s="10" t="inlineStr">
        <is>
          <t>无专属条款</t>
        </is>
      </c>
      <c r="W135" s="8" t="inlineStr">
        <is>
          <t>已核实</t>
        </is>
      </c>
      <c r="X135" s="10" t="inlineStr">
        <is>
          <t>是否到场</t>
        </is>
      </c>
      <c r="Y135" s="12" t="inlineStr">
        <is>
          <t>https://smiconf.github.io/2027/</t>
        </is>
      </c>
      <c r="Z135" s="10" t="inlineStr">
        <is>
          <t>与 GMP 常同期同地举办；核查:现场报告与线上参会要求页面未公布</t>
        </is>
      </c>
    </row>
    <row r="136" ht="32" customHeight="1">
      <c r="A136" s="2" t="n">
        <v>135</v>
      </c>
      <c r="B136" s="3" t="inlineStr">
        <is>
          <t>FSCD</t>
        </is>
      </c>
      <c r="C136" s="4" t="inlineStr">
        <is>
          <t>International Conference on Formal Structures for Computation and Deduction</t>
        </is>
      </c>
      <c r="D136" s="4" t="inlineStr">
        <is>
          <t>形式化结构与计算理论会议，收λ演算、类型论与重写</t>
        </is>
      </c>
      <c r="E136" s="2" t="inlineStr">
        <is>
          <t>计算机科学理论</t>
        </is>
      </c>
      <c r="F136" s="14" t="inlineStr">
        <is>
          <t>C</t>
        </is>
      </c>
      <c r="G136" s="6" t="inlineStr">
        <is>
          <t>—</t>
        </is>
      </c>
      <c r="H136" s="6" t="inlineStr">
        <is>
          <t>待公布</t>
        </is>
      </c>
      <c r="I136" s="7" t="inlineStr">
        <is>
          <t>—</t>
        </is>
      </c>
      <c r="J136" s="2" t="inlineStr">
        <is>
          <t>AoE</t>
        </is>
      </c>
      <c r="K136" s="6" t="inlineStr">
        <is>
          <t>—</t>
        </is>
      </c>
      <c r="L136" s="6" t="inlineStr">
        <is>
          <t>待公布</t>
        </is>
      </c>
      <c r="M136" s="2">
        <f>IF(ISNUMBER(H136),IF(H136&gt;'_轮次'!$A$1,"未截止","已截止"),"TBD")</f>
        <v/>
      </c>
      <c r="N136" s="2">
        <f>IF(ISNUMBER(H136),IF(H136&gt;'_轮次'!$A$1,INT(H136-'_轮次'!$A$1),"—"),"—")</f>
        <v/>
      </c>
      <c r="O136" s="7" t="inlineStr">
        <is>
          <t>August 23-26, 2027</t>
        </is>
      </c>
      <c r="P136" s="4" t="inlineStr">
        <is>
          <t>Nijmegen, Netherlands</t>
        </is>
      </c>
      <c r="Q136" s="2" t="inlineStr">
        <is>
          <t>线下</t>
        </is>
      </c>
      <c r="R136" s="7" t="inlineStr">
        <is>
          <t>待确认</t>
        </is>
      </c>
      <c r="S136" s="4" t="inlineStr">
        <is>
          <t>待确认</t>
        </is>
      </c>
      <c r="T136" s="2" t="inlineStr">
        <is>
          <t>不限</t>
        </is>
      </c>
      <c r="U136" s="2" t="inlineStr">
        <is>
          <t>—</t>
        </is>
      </c>
      <c r="V136" s="4" t="inlineStr">
        <is>
          <t>利好｜通道 CADE最佳学生论文奖</t>
        </is>
      </c>
      <c r="W136" s="2" t="inlineStr">
        <is>
          <t>已核实</t>
        </is>
      </c>
      <c r="X136" s="4" t="inlineStr">
        <is>
          <t>截稿日、是否到场</t>
        </is>
      </c>
      <c r="Y136" s="7" t="inlineStr">
        <is>
          <t>https://fscd-cade.science.ru.nl/</t>
        </is>
      </c>
      <c r="Z136" s="4" t="inlineStr">
        <is>
          <t>LIPIcs 开放出版，理论向；核查:仅列CADE截稿2027-02-21，FSCD自身截稿未公布</t>
        </is>
      </c>
    </row>
    <row r="137" ht="32" customHeight="1">
      <c r="A137" s="8" t="n">
        <v>136</v>
      </c>
      <c r="B137" s="9" t="inlineStr">
        <is>
          <t>ECIR</t>
        </is>
      </c>
      <c r="C137" s="10" t="inlineStr">
        <is>
          <t>European Conference on Information Retrieval</t>
        </is>
      </c>
      <c r="D137" s="10" t="inlineStr">
        <is>
          <t>欧洲信息检索会议，收检索模型、排序学习与评测</t>
        </is>
      </c>
      <c r="E137" s="8" t="inlineStr">
        <is>
          <t>数据库/数据挖掘</t>
        </is>
      </c>
      <c r="F137" s="14" t="inlineStr">
        <is>
          <t>C</t>
        </is>
      </c>
      <c r="G137" s="11" t="n">
        <v>46287.83263888889</v>
      </c>
      <c r="H137" s="11" t="n">
        <v>46301.83263888889</v>
      </c>
      <c r="I137" s="12" t="inlineStr">
        <is>
          <t>单轮</t>
        </is>
      </c>
      <c r="J137" s="8" t="inlineStr">
        <is>
          <t>UTC+0</t>
        </is>
      </c>
      <c r="K137" s="11" t="inlineStr">
        <is>
          <t>—</t>
        </is>
      </c>
      <c r="L137" s="11" t="inlineStr">
        <is>
          <t>2026-12-07</t>
        </is>
      </c>
      <c r="M137" s="8">
        <f>IF(ISNUMBER(H137),IF(H137&gt;'_轮次'!$A$1,"未截止","已截止"),"TBD")</f>
        <v/>
      </c>
      <c r="N137" s="8">
        <f>IF(ISNUMBER(H137),IF(H137&gt;'_轮次'!$A$1,INT(H137-'_轮次'!$A$1),"—"),"—")</f>
        <v/>
      </c>
      <c r="O137" s="12" t="inlineStr">
        <is>
          <t>March 21-25, 2027</t>
        </is>
      </c>
      <c r="P137" s="10" t="inlineStr">
        <is>
          <t>Southampton, UK</t>
        </is>
      </c>
      <c r="Q137" s="8" t="inlineStr">
        <is>
          <t>线下</t>
        </is>
      </c>
      <c r="R137" s="12" t="inlineStr">
        <is>
          <t>必须到场</t>
        </is>
      </c>
      <c r="S137" s="10" t="inlineStr">
        <is>
          <t>待确认</t>
        </is>
      </c>
      <c r="T137" s="8" t="inlineStr">
        <is>
          <t>不限</t>
        </is>
      </c>
      <c r="U137" s="8" t="inlineStr">
        <is>
          <t>—</t>
        </is>
      </c>
      <c r="V137" s="10" t="inlineStr">
        <is>
          <t>利好｜通道 Doctoral Consortium</t>
        </is>
      </c>
      <c r="W137" s="8" t="inlineStr">
        <is>
          <t>已核实</t>
        </is>
      </c>
      <c r="X137" s="10" t="inlineStr">
        <is>
          <t>—</t>
        </is>
      </c>
      <c r="Y137" s="12" t="inlineStr">
        <is>
          <t>https://ecir2027.co.uk/</t>
        </is>
      </c>
      <c r="Z137" s="10" t="inlineStr">
        <is>
          <t>欧陆 IR 主会，接收率约三成；核查:页首称第49届，About段称第48届</t>
        </is>
      </c>
    </row>
    <row r="138" ht="32" customHeight="1">
      <c r="A138" s="2" t="n">
        <v>137</v>
      </c>
      <c r="B138" s="3" t="inlineStr">
        <is>
          <t>ESWC</t>
        </is>
      </c>
      <c r="C138" s="4" t="inlineStr">
        <is>
          <t>European Semantic Web Conference</t>
        </is>
      </c>
      <c r="D138" s="4" t="inlineStr">
        <is>
          <t>语义网与知识图谱核心会议，收本体、链接数据、KG 与大模型结合</t>
        </is>
      </c>
      <c r="E138" s="2" t="inlineStr">
        <is>
          <t>数据库/数据挖掘</t>
        </is>
      </c>
      <c r="F138" s="14" t="inlineStr">
        <is>
          <t>C</t>
        </is>
      </c>
      <c r="G138" s="6" t="n">
        <v>46367.83263888889</v>
      </c>
      <c r="H138" s="6" t="n">
        <v>46374.83263888889</v>
      </c>
      <c r="I138" s="7" t="inlineStr">
        <is>
          <t>Research track; rebuttal period January 26-29, 2027</t>
        </is>
      </c>
      <c r="J138" s="2" t="inlineStr">
        <is>
          <t>AoE</t>
        </is>
      </c>
      <c r="K138" s="6" t="n">
        <v>46417.83263888889</v>
      </c>
      <c r="L138" s="6" t="n">
        <v>46438.83263888889</v>
      </c>
      <c r="M138" s="2">
        <f>IF(ISNUMBER(H138),IF(H138&gt;'_轮次'!$A$1,"未截止","已截止"),"TBD")</f>
        <v/>
      </c>
      <c r="N138" s="2">
        <f>IF(ISNUMBER(H138),IF(H138&gt;'_轮次'!$A$1,INT(H138-'_轮次'!$A$1),"—"),"—")</f>
        <v/>
      </c>
      <c r="O138" s="7" t="inlineStr">
        <is>
          <t>May 23-27, 2027</t>
        </is>
      </c>
      <c r="P138" s="4" t="inlineStr">
        <is>
          <t>Limassol, Cyprus</t>
        </is>
      </c>
      <c r="Q138" s="2" t="inlineStr">
        <is>
          <t>线下</t>
        </is>
      </c>
      <c r="R138" s="7" t="inlineStr">
        <is>
          <t>待确认</t>
        </is>
      </c>
      <c r="S138" s="4" t="inlineStr">
        <is>
          <t>待确认</t>
        </is>
      </c>
      <c r="T138" s="2" t="inlineStr">
        <is>
          <t>不限</t>
        </is>
      </c>
      <c r="U138" s="2" t="inlineStr">
        <is>
          <t>—</t>
        </is>
      </c>
      <c r="V138" s="4" t="inlineStr">
        <is>
          <t>CFP未发布</t>
        </is>
      </c>
      <c r="W138" s="2" t="inlineStr">
        <is>
          <t>2027CFP未发布</t>
        </is>
      </c>
      <c r="X138" s="4" t="inlineStr">
        <is>
          <t>是否到场、新人条款</t>
        </is>
      </c>
      <c r="Y138" s="7" t="inlineStr">
        <is>
          <t>https://2027.eswc-conferences.org/</t>
        </is>
      </c>
      <c r="Z138" s="4" t="inlineStr">
        <is>
          <t>LNCS 出版，另设资源与行业 track；核查:官网仅有时间地点，Call页无内容</t>
        </is>
      </c>
    </row>
    <row r="139" ht="32" customHeight="1">
      <c r="A139" s="8" t="n">
        <v>138</v>
      </c>
      <c r="B139" s="9" t="inlineStr">
        <is>
          <t>PAKDD</t>
        </is>
      </c>
      <c r="C139" s="10" t="inlineStr">
        <is>
          <t>Pacific-Asia Conference on Knowledge Discovery and Data Mining</t>
        </is>
      </c>
      <c r="D139" s="10" t="inlineStr">
        <is>
          <t>亚太数据挖掘主会，覆盖 KDD 全谱，应用论文与理论方法并重</t>
        </is>
      </c>
      <c r="E139" s="8" t="inlineStr">
        <is>
          <t>数据库/数据挖掘</t>
        </is>
      </c>
      <c r="F139" s="14" t="inlineStr">
        <is>
          <t>C</t>
        </is>
      </c>
      <c r="G139" s="11" t="inlineStr">
        <is>
          <t>—</t>
        </is>
      </c>
      <c r="H139" s="11" t="n">
        <v>46347.83263888889</v>
      </c>
      <c r="I139" s="12" t="inlineStr">
        <is>
          <t>单轮</t>
        </is>
      </c>
      <c r="J139" s="8" t="inlineStr">
        <is>
          <t>AoE</t>
        </is>
      </c>
      <c r="K139" s="11" t="inlineStr">
        <is>
          <t>—</t>
        </is>
      </c>
      <c r="L139" s="11" t="n">
        <v>46445.83263888889</v>
      </c>
      <c r="M139" s="8">
        <f>IF(ISNUMBER(H139),IF(H139&gt;'_轮次'!$A$1,"未截止","已截止"),"TBD")</f>
        <v/>
      </c>
      <c r="N139" s="8">
        <f>IF(ISNUMBER(H139),IF(H139&gt;'_轮次'!$A$1,INT(H139-'_轮次'!$A$1),"—"),"—")</f>
        <v/>
      </c>
      <c r="O139" s="12" t="inlineStr">
        <is>
          <t>June 29-July 2, 2027</t>
        </is>
      </c>
      <c r="P139" s="10" t="inlineStr">
        <is>
          <t>Wellington, New Zealand</t>
        </is>
      </c>
      <c r="Q139" s="8" t="inlineStr">
        <is>
          <t>线下</t>
        </is>
      </c>
      <c r="R139" s="12" t="inlineStr">
        <is>
          <t>待确认</t>
        </is>
      </c>
      <c r="S139" s="10" t="inlineStr">
        <is>
          <t>待确认</t>
        </is>
      </c>
      <c r="T139" s="8" t="inlineStr">
        <is>
          <t>不限</t>
        </is>
      </c>
      <c r="U139" s="8" t="inlineStr">
        <is>
          <t>—</t>
        </is>
      </c>
      <c r="V139" s="10" t="inlineStr">
        <is>
          <t>CFP未发布</t>
        </is>
      </c>
      <c r="W139" s="8" t="inlineStr">
        <is>
          <t>2027CFP未发布</t>
        </is>
      </c>
      <c r="X139" s="10" t="inlineStr">
        <is>
          <t>是否到场、新人条款</t>
        </is>
      </c>
      <c r="Y139" s="12" t="inlineStr">
        <is>
          <t>https://www.pakdd2027.org/</t>
        </is>
      </c>
      <c r="Z139" s="10" t="inlineStr">
        <is>
          <t>LNCS 出版，设应用 track；核查:CFP页404，官网仅会议日期</t>
        </is>
      </c>
    </row>
    <row r="140" ht="32" customHeight="1">
      <c r="A140" s="2" t="n">
        <v>139</v>
      </c>
      <c r="B140" s="3" t="inlineStr">
        <is>
          <t>ASP-DAC</t>
        </is>
      </c>
      <c r="C140" s="4" t="inlineStr">
        <is>
          <t>Asia and South Pacific Design Automation Conference</t>
        </is>
      </c>
      <c r="D140" s="4" t="inlineStr">
        <is>
          <t>亚洲南太设计自动化会议，EDA 与 SoC、低功耗设计，与 DAC 互补</t>
        </is>
      </c>
      <c r="E140" s="2" t="inlineStr">
        <is>
          <t>体系结构/并行/存储</t>
        </is>
      </c>
      <c r="F140" s="14" t="inlineStr">
        <is>
          <t>C</t>
        </is>
      </c>
      <c r="G140" s="6" t="n">
        <v>46215.54166666666</v>
      </c>
      <c r="H140" s="6" t="n">
        <v>46222.54166666666</v>
      </c>
      <c r="I140" s="7" t="inlineStr">
        <is>
          <t>单轮</t>
        </is>
      </c>
      <c r="J140" s="2" t="inlineStr">
        <is>
          <t>AoE</t>
        </is>
      </c>
      <c r="K140" s="6" t="inlineStr">
        <is>
          <t>—</t>
        </is>
      </c>
      <c r="L140" s="6" t="n">
        <v>46270.83263888889</v>
      </c>
      <c r="M140" s="2">
        <f>IF(ISNUMBER(H140),IF(H140&gt;'_轮次'!$A$1,"未截止","已截止"),"TBD")</f>
        <v/>
      </c>
      <c r="N140" s="2">
        <f>IF(ISNUMBER(H140),IF(H140&gt;'_轮次'!$A$1,INT(H140-'_轮次'!$A$1),"—"),"—")</f>
        <v/>
      </c>
      <c r="O140" s="7" t="inlineStr">
        <is>
          <t>Jan 25-28, 2027</t>
        </is>
      </c>
      <c r="P140" s="4" t="inlineStr">
        <is>
          <t>Hitotsubashi Hall, Tokyo, Japan</t>
        </is>
      </c>
      <c r="Q140" s="2" t="inlineStr">
        <is>
          <t>线下</t>
        </is>
      </c>
      <c r="R140" s="7" t="inlineStr">
        <is>
          <t>必须到场</t>
        </is>
      </c>
      <c r="S140" s="4" t="inlineStr">
        <is>
          <t>不设线上通道</t>
        </is>
      </c>
      <c r="T140" s="2" t="inlineStr">
        <is>
          <t>不限</t>
        </is>
      </c>
      <c r="U140" s="2" t="inlineStr">
        <is>
          <t>—</t>
        </is>
      </c>
      <c r="V140" s="4" t="inlineStr">
        <is>
          <t>硬性｜全体作者须有ORCID与有效邮箱</t>
        </is>
      </c>
      <c r="W140" s="2" t="inlineStr">
        <is>
          <t>已核实</t>
        </is>
      </c>
      <c r="X140" s="4" t="inlineStr">
        <is>
          <t>—</t>
        </is>
      </c>
      <c r="Y140" s="7" t="inlineStr">
        <is>
          <t>https://www.aspdac.com/aspdac2027/</t>
        </is>
      </c>
      <c r="Z140" s="4" t="inlineStr">
        <is>
          <t>与 DAC、ICCAD 并称 EDA 三大会议；核查:已公布录用名单，终稿2026-10-27，截稿日未列</t>
        </is>
      </c>
    </row>
    <row r="141" ht="32" customHeight="1">
      <c r="A141" s="8" t="n">
        <v>140</v>
      </c>
      <c r="B141" s="9" t="inlineStr">
        <is>
          <t>CCGRID</t>
        </is>
      </c>
      <c r="C141" s="10" t="inlineStr">
        <is>
          <t>IEEE International Symposium on Cluster, Cloud and Internet Computing</t>
        </is>
      </c>
      <c r="D141" s="10" t="inlineStr">
        <is>
          <t>集群与云计算会议，分布式系统、云原生调度、边缘协同计算</t>
        </is>
      </c>
      <c r="E141" s="8" t="inlineStr">
        <is>
          <t>体系结构/并行/存储</t>
        </is>
      </c>
      <c r="F141" s="14" t="inlineStr">
        <is>
          <t>C</t>
        </is>
      </c>
      <c r="G141" s="11" t="n">
        <v>46351.83263888889</v>
      </c>
      <c r="H141" s="11" t="n">
        <v>46358.83263888889</v>
      </c>
      <c r="I141" s="12" t="inlineStr">
        <is>
          <t>单轮</t>
        </is>
      </c>
      <c r="J141" s="8" t="inlineStr">
        <is>
          <t>AoE</t>
        </is>
      </c>
      <c r="K141" s="11" t="inlineStr">
        <is>
          <t>—</t>
        </is>
      </c>
      <c r="L141" s="11" t="inlineStr">
        <is>
          <t>2027-02-01</t>
        </is>
      </c>
      <c r="M141" s="8">
        <f>IF(ISNUMBER(H141),IF(H141&gt;'_轮次'!$A$1,"未截止","已截止"),"TBD")</f>
        <v/>
      </c>
      <c r="N141" s="8">
        <f>IF(ISNUMBER(H141),IF(H141&gt;'_轮次'!$A$1,INT(H141-'_轮次'!$A$1),"—"),"—")</f>
        <v/>
      </c>
      <c r="O141" s="12" t="inlineStr">
        <is>
          <t>May 24-27, 2027</t>
        </is>
      </c>
      <c r="P141" s="10" t="inlineStr">
        <is>
          <t>Dallas-Fort Worth, Texas, USA</t>
        </is>
      </c>
      <c r="Q141" s="8" t="inlineStr">
        <is>
          <t>线下</t>
        </is>
      </c>
      <c r="R141" s="12" t="inlineStr">
        <is>
          <t>待确认</t>
        </is>
      </c>
      <c r="S141" s="10" t="inlineStr">
        <is>
          <t>待确认</t>
        </is>
      </c>
      <c r="T141" s="8" t="inlineStr">
        <is>
          <t>不限</t>
        </is>
      </c>
      <c r="U141" s="8" t="inlineStr">
        <is>
          <t>—</t>
        </is>
      </c>
      <c r="V141" s="10" t="inlineStr">
        <is>
          <t>利好｜通道 Doctoral Symposium, Early Career Track</t>
        </is>
      </c>
      <c r="W141" s="8" t="inlineStr">
        <is>
          <t>已核实</t>
        </is>
      </c>
      <c r="X141" s="10" t="inlineStr">
        <is>
          <t>是否到场</t>
        </is>
      </c>
      <c r="Y141" s="12" t="inlineStr">
        <is>
          <t>https://hpcclab.org/ccgrid27/</t>
        </is>
      </c>
      <c r="Z141" s="10" t="inlineStr">
        <is>
          <t>IEEE 出版，与 CCGrid 社区合办；核查:摘要截止2026-11-24</t>
        </is>
      </c>
    </row>
    <row r="142" ht="32" customHeight="1">
      <c r="A142" s="2" t="n">
        <v>141</v>
      </c>
      <c r="B142" s="3" t="inlineStr">
        <is>
          <t>ETS</t>
        </is>
      </c>
      <c r="C142" s="4" t="inlineStr">
        <is>
          <t>IEEE European Test Symposium</t>
        </is>
      </c>
      <c r="D142" s="4" t="inlineStr">
        <is>
          <t>欧洲测试研讨会，芯片测试、可测性设计、可靠性与容错</t>
        </is>
      </c>
      <c r="E142" s="2" t="inlineStr">
        <is>
          <t>体系结构/并行/存储</t>
        </is>
      </c>
      <c r="F142" s="14" t="inlineStr">
        <is>
          <t>C</t>
        </is>
      </c>
      <c r="G142" s="6" t="n">
        <v>46365.83263888889</v>
      </c>
      <c r="H142" s="6" t="n">
        <v>46372.83263888889</v>
      </c>
      <c r="I142" s="7" t="inlineStr">
        <is>
          <t>Regular papers; official CFP dates. Clock 23:59:59 and timezone AoE are repository defaults, not published cutoff precision.</t>
        </is>
      </c>
      <c r="J142" s="2" t="inlineStr">
        <is>
          <t>AoE</t>
        </is>
      </c>
      <c r="K142" s="6" t="inlineStr">
        <is>
          <t>—</t>
        </is>
      </c>
      <c r="L142" s="6" t="inlineStr">
        <is>
          <t>待公布</t>
        </is>
      </c>
      <c r="M142" s="2">
        <f>IF(ISNUMBER(H142),IF(H142&gt;'_轮次'!$A$1,"未截止","已截止"),"TBD")</f>
        <v/>
      </c>
      <c r="N142" s="2">
        <f>IF(ISNUMBER(H142),IF(H142&gt;'_轮次'!$A$1,INT(H142-'_轮次'!$A$1),"—"),"—")</f>
        <v/>
      </c>
      <c r="O142" s="7" t="inlineStr">
        <is>
          <t>May 24-28, 2027</t>
        </is>
      </c>
      <c r="P142" s="4" t="inlineStr">
        <is>
          <t>London, UK</t>
        </is>
      </c>
      <c r="Q142" s="2" t="inlineStr">
        <is>
          <t>线下</t>
        </is>
      </c>
      <c r="R142" s="7" t="inlineStr">
        <is>
          <t>必须到场</t>
        </is>
      </c>
      <c r="S142" s="4" t="inlineStr">
        <is>
          <t>不设线上通道</t>
        </is>
      </c>
      <c r="T142" s="2" t="inlineStr">
        <is>
          <t>不限</t>
        </is>
      </c>
      <c r="U142" s="2" t="inlineStr">
        <is>
          <t>—</t>
        </is>
      </c>
      <c r="V142" s="4" t="inlineStr">
        <is>
          <t>CFP未发布</t>
        </is>
      </c>
      <c r="W142" s="2" t="inlineStr">
        <is>
          <t>2027CFP未发布</t>
        </is>
      </c>
      <c r="X142" s="4" t="inlineStr">
        <is>
          <t>新人条款</t>
        </is>
      </c>
      <c r="Y142" s="7" t="inlineStr">
        <is>
          <t>https://www.ets2027.co.uk/</t>
        </is>
      </c>
      <c r="Z142" s="4" t="inlineStr">
        <is>
          <t>欧洲测试周核心会议；核查:官网仅公布会期5/24-28与场地，截稿日未发布</t>
        </is>
      </c>
    </row>
    <row r="143" ht="32" customHeight="1">
      <c r="A143" s="8" t="n">
        <v>142</v>
      </c>
      <c r="B143" s="9" t="inlineStr">
        <is>
          <t>ISPD</t>
        </is>
      </c>
      <c r="C143" s="10" t="inlineStr">
        <is>
          <t>International Symposium on Physical Design</t>
        </is>
      </c>
      <c r="D143" s="10" t="inlineStr">
        <is>
          <t>物理设计专会，布局布线、时序与功耗优化，EDA 前端核心场</t>
        </is>
      </c>
      <c r="E143" s="8" t="inlineStr">
        <is>
          <t>体系结构/并行/存储</t>
        </is>
      </c>
      <c r="F143" s="14" t="inlineStr">
        <is>
          <t>C</t>
        </is>
      </c>
      <c r="G143" s="11" t="n">
        <v>46287.83263888889</v>
      </c>
      <c r="H143" s="11" t="n">
        <v>46294.83263888889</v>
      </c>
      <c r="I143" s="12" t="inlineStr">
        <is>
          <t>单轮</t>
        </is>
      </c>
      <c r="J143" s="8" t="inlineStr">
        <is>
          <t>AoE</t>
        </is>
      </c>
      <c r="K143" s="11" t="inlineStr">
        <is>
          <t>—</t>
        </is>
      </c>
      <c r="L143" s="11" t="inlineStr">
        <is>
          <t>2026-11-05</t>
        </is>
      </c>
      <c r="M143" s="8">
        <f>IF(ISNUMBER(H143),IF(H143&gt;'_轮次'!$A$1,"未截止","已截止"),"TBD")</f>
        <v/>
      </c>
      <c r="N143" s="8">
        <f>IF(ISNUMBER(H143),IF(H143&gt;'_轮次'!$A$1,INT(H143-'_轮次'!$A$1),"—"),"—")</f>
        <v/>
      </c>
      <c r="O143" s="12" t="inlineStr">
        <is>
          <t>March 30 - April 2, 2027</t>
        </is>
      </c>
      <c r="P143" s="10" t="inlineStr">
        <is>
          <t>Taipei, Taiwan</t>
        </is>
      </c>
      <c r="Q143" s="8" t="inlineStr">
        <is>
          <t>线下</t>
        </is>
      </c>
      <c r="R143" s="12" t="inlineStr">
        <is>
          <t>必须到场</t>
        </is>
      </c>
      <c r="S143" s="10" t="inlineStr">
        <is>
          <t>不设线上通道</t>
        </is>
      </c>
      <c r="T143" s="8" t="inlineStr">
        <is>
          <t>不限</t>
        </is>
      </c>
      <c r="U143" s="8" t="inlineStr">
        <is>
          <t>—</t>
        </is>
      </c>
      <c r="V143" s="10" t="inlineStr">
        <is>
          <t>未找到</t>
        </is>
      </c>
      <c r="W143" s="8" t="inlineStr">
        <is>
          <t>已核实</t>
        </is>
      </c>
      <c r="X143" s="10" t="inlineStr">
        <is>
          <t>新人条款</t>
        </is>
      </c>
      <c r="Y143" s="12" t="inlineStr">
        <is>
          <t>https://ispd.cc/ispd2027/</t>
        </is>
      </c>
      <c r="Z143" s="10" t="inlineStr">
        <is>
          <t>单 track，规模小，设竞赛 track；核查:摘要9/21，全文9/28，报告人注册2027-01-07</t>
        </is>
      </c>
    </row>
    <row r="144" ht="32" customHeight="1">
      <c r="A144" s="2" t="n">
        <v>143</v>
      </c>
      <c r="B144" s="3" t="inlineStr">
        <is>
          <t>CSCWD</t>
        </is>
      </c>
      <c r="C144" s="4" t="inlineStr">
        <is>
          <t>International Conference on Computer Supported Cooperative Work in Design</t>
        </is>
      </c>
      <c r="D144" s="4" t="inlineStr">
        <is>
          <t>协同工作与协同设计交叉会，团队协作、工程设计流程与应用系统</t>
        </is>
      </c>
      <c r="E144" s="2" t="inlineStr">
        <is>
          <t>人机交互与普适计算</t>
        </is>
      </c>
      <c r="F144" s="14" t="inlineStr">
        <is>
          <t>C</t>
        </is>
      </c>
      <c r="G144" s="6" t="inlineStr">
        <is>
          <t>—</t>
        </is>
      </c>
      <c r="H144" s="6" t="n">
        <v>46327.83263888889</v>
      </c>
      <c r="I144" s="7" t="inlineStr">
        <is>
          <t>单轮</t>
        </is>
      </c>
      <c r="J144" s="2" t="inlineStr">
        <is>
          <t>AoE</t>
        </is>
      </c>
      <c r="K144" s="6" t="inlineStr">
        <is>
          <t>—</t>
        </is>
      </c>
      <c r="L144" s="6" t="n">
        <v>46419.83263888889</v>
      </c>
      <c r="M144" s="2">
        <f>IF(ISNUMBER(H144),IF(H144&gt;'_轮次'!$A$1,"未截止","已截止"),"TBD")</f>
        <v/>
      </c>
      <c r="N144" s="2">
        <f>IF(ISNUMBER(H144),IF(H144&gt;'_轮次'!$A$1,INT(H144-'_轮次'!$A$1),"—"),"—")</f>
        <v/>
      </c>
      <c r="O144" s="7" t="inlineStr">
        <is>
          <t>May 26-28, 2027</t>
        </is>
      </c>
      <c r="P144" s="4" t="inlineStr">
        <is>
          <t>Brisbane, Australia</t>
        </is>
      </c>
      <c r="Q144" s="2" t="inlineStr">
        <is>
          <t>线下</t>
        </is>
      </c>
      <c r="R144" s="7" t="inlineStr">
        <is>
          <t>待确认</t>
        </is>
      </c>
      <c r="S144" s="4" t="inlineStr">
        <is>
          <t>待确认</t>
        </is>
      </c>
      <c r="T144" s="2" t="inlineStr">
        <is>
          <t>不限</t>
        </is>
      </c>
      <c r="U144" s="2" t="inlineStr">
        <is>
          <t>—</t>
        </is>
      </c>
      <c r="V144" s="4" t="inlineStr">
        <is>
          <t>未找到</t>
        </is>
      </c>
      <c r="W144" s="2" t="inlineStr">
        <is>
          <t>官网不可达</t>
        </is>
      </c>
      <c r="X144" s="4" t="inlineStr">
        <is>
          <t>是否到场、新人条款</t>
        </is>
      </c>
      <c r="Y144" s="7" t="inlineStr">
        <is>
          <t>http://2027.cscwd.org</t>
        </is>
      </c>
      <c r="Z144" s="4" t="inlineStr">
        <is>
          <t>IEEE 出版，偏应用与工程；核查:2027.cscwd.org HTTP/HTTPS 均无法访问；重查:重查失败：官网超时</t>
        </is>
      </c>
    </row>
    <row r="145" ht="32" customHeight="1">
      <c r="A145" s="8" t="n">
        <v>144</v>
      </c>
      <c r="B145" s="9" t="inlineStr">
        <is>
          <t>DIS</t>
        </is>
      </c>
      <c r="C145" s="10" t="inlineStr">
        <is>
          <t>ACM Conference on Designing Interactive Systems</t>
        </is>
      </c>
      <c r="D145" s="10" t="inlineStr">
        <is>
          <t>交互设计顶会，重设计方法与反思性实践，人、材料与技术的交互</t>
        </is>
      </c>
      <c r="E145" s="8" t="inlineStr">
        <is>
          <t>人机交互与普适计算</t>
        </is>
      </c>
      <c r="F145" s="14" t="inlineStr">
        <is>
          <t>C</t>
        </is>
      </c>
      <c r="G145" s="11" t="n">
        <v>46399.83263888889</v>
      </c>
      <c r="H145" s="11" t="n">
        <v>46406.83263888889</v>
      </c>
      <c r="I145" s="12" t="inlineStr">
        <is>
          <t>单轮</t>
        </is>
      </c>
      <c r="J145" s="8" t="inlineStr">
        <is>
          <t>AoE</t>
        </is>
      </c>
      <c r="K145" s="11" t="inlineStr">
        <is>
          <t>—</t>
        </is>
      </c>
      <c r="L145" s="11" t="inlineStr">
        <is>
          <t>待公布</t>
        </is>
      </c>
      <c r="M145" s="8">
        <f>IF(ISNUMBER(H145),IF(H145&gt;'_轮次'!$A$1,"未截止","已截止"),"TBD")</f>
        <v/>
      </c>
      <c r="N145" s="8">
        <f>IF(ISNUMBER(H145),IF(H145&gt;'_轮次'!$A$1,INT(H145-'_轮次'!$A$1),"—"),"—")</f>
        <v/>
      </c>
      <c r="O145" s="12" t="inlineStr">
        <is>
          <t>June 28 - July 2, 2027</t>
        </is>
      </c>
      <c r="P145" s="10" t="inlineStr">
        <is>
          <t>Stockholm, Sweden</t>
        </is>
      </c>
      <c r="Q145" s="8" t="inlineStr">
        <is>
          <t>线下</t>
        </is>
      </c>
      <c r="R145" s="12" t="inlineStr">
        <is>
          <t>待确认</t>
        </is>
      </c>
      <c r="S145" s="10" t="inlineStr">
        <is>
          <t>待确认</t>
        </is>
      </c>
      <c r="T145" s="8" t="inlineStr">
        <is>
          <t>不限</t>
        </is>
      </c>
      <c r="U145" s="8" t="inlineStr">
        <is>
          <t>—</t>
        </is>
      </c>
      <c r="V145" s="10" t="inlineStr">
        <is>
          <t>CFP未发布</t>
        </is>
      </c>
      <c r="W145" s="8" t="inlineStr">
        <is>
          <t>2027CFP未发布</t>
        </is>
      </c>
      <c r="X145" s="10" t="inlineStr">
        <is>
          <t>是否到场、新人条款</t>
        </is>
      </c>
      <c r="Y145" s="12" t="inlineStr">
        <is>
          <t>https://dis.acm.org/2027/</t>
        </is>
      </c>
      <c r="Z145" s="10" t="inlineStr">
        <is>
          <t>SIGCHI 主办，按 PACM HCI 形式出版；核查:官网仅有会期6/28-7/2与主题，投稿通道未开</t>
        </is>
      </c>
    </row>
    <row r="146" ht="32" customHeight="1">
      <c r="A146" s="2" t="n">
        <v>145</v>
      </c>
      <c r="B146" s="3" t="inlineStr">
        <is>
          <t>GI</t>
        </is>
      </c>
      <c r="C146" s="4" t="inlineStr">
        <is>
          <t>Graphics Interface</t>
        </is>
      </c>
      <c r="D146" s="4" t="inlineStr">
        <is>
          <t>加拿大图形学老牌会议，图形学、可视化与人机交互综合收录</t>
        </is>
      </c>
      <c r="E146" s="2" t="inlineStr">
        <is>
          <t>人机交互与普适计算</t>
        </is>
      </c>
      <c r="F146" s="14" t="inlineStr">
        <is>
          <t>C</t>
        </is>
      </c>
      <c r="G146" s="6" t="inlineStr">
        <is>
          <t>—</t>
        </is>
      </c>
      <c r="H146" s="6" t="n">
        <v>46424.83263888889</v>
      </c>
      <c r="I146" s="7" t="inlineStr">
        <is>
          <t>单轮</t>
        </is>
      </c>
      <c r="J146" s="2" t="inlineStr">
        <is>
          <t>AoE</t>
        </is>
      </c>
      <c r="K146" s="6" t="inlineStr">
        <is>
          <t>—</t>
        </is>
      </c>
      <c r="L146" s="6" t="n">
        <v>46508.83263888889</v>
      </c>
      <c r="M146" s="2">
        <f>IF(ISNUMBER(H146),IF(H146&gt;'_轮次'!$A$1,"未截止","已截止"),"TBD")</f>
        <v/>
      </c>
      <c r="N146" s="2">
        <f>IF(ISNUMBER(H146),IF(H146&gt;'_轮次'!$A$1,INT(H146-'_轮次'!$A$1),"—"),"—")</f>
        <v/>
      </c>
      <c r="O146" s="7" t="inlineStr">
        <is>
          <t>June 15-18, 2027</t>
        </is>
      </c>
      <c r="P146" s="4" t="inlineStr">
        <is>
          <t>Winnipeg, Canada</t>
        </is>
      </c>
      <c r="Q146" s="2" t="inlineStr">
        <is>
          <t>线下</t>
        </is>
      </c>
      <c r="R146" s="7" t="inlineStr">
        <is>
          <t>必须到场</t>
        </is>
      </c>
      <c r="S146" s="4" t="inlineStr">
        <is>
          <t>不设线上通道</t>
        </is>
      </c>
      <c r="T146" s="2" t="inlineStr">
        <is>
          <t>不限</t>
        </is>
      </c>
      <c r="U146" s="2" t="inlineStr">
        <is>
          <t>—</t>
        </is>
      </c>
      <c r="V146" s="4" t="inlineStr">
        <is>
          <t>CFP未发布</t>
        </is>
      </c>
      <c r="W146" s="2" t="inlineStr">
        <is>
          <t>2027CFP未发布</t>
        </is>
      </c>
      <c r="X146" s="4" t="inlineStr">
        <is>
          <t>新人条款</t>
        </is>
      </c>
      <c r="Y146" s="7" t="inlineStr">
        <is>
          <t>https://conferences.graphicsinterface.org/2027</t>
        </is>
      </c>
      <c r="Z146" s="4" t="inlineStr">
        <is>
          <t>北美区域性会议，规模中等；核查:官网仅公布会期6/15-18，称细节稍后发布</t>
        </is>
      </c>
    </row>
    <row r="147" ht="32" customHeight="1">
      <c r="A147" s="8" t="n">
        <v>146</v>
      </c>
      <c r="B147" s="9" t="inlineStr">
        <is>
          <t>IDC</t>
        </is>
      </c>
      <c r="C147" s="10" t="inlineStr">
        <is>
          <t>ACM Interaction Design and Children Conference</t>
        </is>
      </c>
      <c r="D147" s="10" t="inlineStr">
        <is>
          <t>儿童交互设计会议，儿童学习与游戏技术，重用户研究与伦理</t>
        </is>
      </c>
      <c r="E147" s="8" t="inlineStr">
        <is>
          <t>人机交互与普适计算</t>
        </is>
      </c>
      <c r="F147" s="14" t="inlineStr">
        <is>
          <t>C</t>
        </is>
      </c>
      <c r="G147" s="11" t="n">
        <v>46406.83263888889</v>
      </c>
      <c r="H147" s="11" t="n">
        <v>46413.83263888889</v>
      </c>
      <c r="I147" s="12" t="inlineStr">
        <is>
          <t>Full and Short Papers; abstract deadline includes author information</t>
        </is>
      </c>
      <c r="J147" s="8" t="inlineStr">
        <is>
          <t>AoE</t>
        </is>
      </c>
      <c r="K147" s="11" t="inlineStr">
        <is>
          <t>—</t>
        </is>
      </c>
      <c r="L147" s="11" t="inlineStr">
        <is>
          <t>待公布</t>
        </is>
      </c>
      <c r="M147" s="8">
        <f>IF(ISNUMBER(H147),IF(H147&gt;'_轮次'!$A$1,"未截止","已截止"),"TBD")</f>
        <v/>
      </c>
      <c r="N147" s="8">
        <f>IF(ISNUMBER(H147),IF(H147&gt;'_轮次'!$A$1,INT(H147-'_轮次'!$A$1),"—"),"—")</f>
        <v/>
      </c>
      <c r="O147" s="12" t="inlineStr">
        <is>
          <t>June 21-24, 2027</t>
        </is>
      </c>
      <c r="P147" s="10" t="inlineStr">
        <is>
          <t>Seattle, Washington, USA</t>
        </is>
      </c>
      <c r="Q147" s="8" t="inlineStr">
        <is>
          <t>线下</t>
        </is>
      </c>
      <c r="R147" s="12" t="inlineStr">
        <is>
          <t>待确认</t>
        </is>
      </c>
      <c r="S147" s="10" t="inlineStr">
        <is>
          <t>待确认</t>
        </is>
      </c>
      <c r="T147" s="8" t="inlineStr">
        <is>
          <t>不限</t>
        </is>
      </c>
      <c r="U147" s="8" t="inlineStr">
        <is>
          <t>—</t>
        </is>
      </c>
      <c r="V147" s="10" t="inlineStr">
        <is>
          <t>利好｜通道 Doctoral Consortium, Research and Design Challenge</t>
        </is>
      </c>
      <c r="W147" s="8" t="inlineStr">
        <is>
          <t>已核实</t>
        </is>
      </c>
      <c r="X147" s="10" t="inlineStr">
        <is>
          <t>是否到场</t>
        </is>
      </c>
      <c r="Y147" s="12" t="inlineStr">
        <is>
          <t>https://idc.acm.org/2027/</t>
        </is>
      </c>
      <c r="Z147" s="10" t="inlineStr">
        <is>
          <t>SIGCHI 主办，儿童参与研究为特色；核查:长/短文截稿2027-01-25，录用通知日未列</t>
        </is>
      </c>
    </row>
    <row r="148" ht="32" customHeight="1">
      <c r="A148" s="2" t="n">
        <v>147</v>
      </c>
      <c r="B148" s="3" t="inlineStr">
        <is>
          <t>INTERACT</t>
        </is>
      </c>
      <c r="C148" s="4" t="inlineStr">
        <is>
          <t>IFIP TC13 International Conference on Human-Computer Interaction</t>
        </is>
      </c>
      <c r="D148" s="4" t="inlineStr">
        <is>
          <t>IFIP 人机交互大会，欧洲 HCI 旗舰，理论与应用、区域研究并重</t>
        </is>
      </c>
      <c r="E148" s="2" t="inlineStr">
        <is>
          <t>人机交互与普适计算</t>
        </is>
      </c>
      <c r="F148" s="14" t="inlineStr">
        <is>
          <t>C</t>
        </is>
      </c>
      <c r="G148" s="6" t="n">
        <v>46413.83263888889</v>
      </c>
      <c r="H148" s="6" t="n">
        <v>46420.83263888889</v>
      </c>
      <c r="I148" s="7" t="inlineStr">
        <is>
          <t>单轮</t>
        </is>
      </c>
      <c r="J148" s="2" t="inlineStr">
        <is>
          <t>AoE</t>
        </is>
      </c>
      <c r="K148" s="6" t="n">
        <v>46469.83263888889</v>
      </c>
      <c r="L148" s="6" t="inlineStr">
        <is>
          <t>2027-03-08</t>
        </is>
      </c>
      <c r="M148" s="2">
        <f>IF(ISNUMBER(H148),IF(H148&gt;'_轮次'!$A$1,"未截止","已截止"),"TBD")</f>
        <v/>
      </c>
      <c r="N148" s="2">
        <f>IF(ISNUMBER(H148),IF(H148&gt;'_轮次'!$A$1,INT(H148-'_轮次'!$A$1),"—"),"—")</f>
        <v/>
      </c>
      <c r="O148" s="7" t="inlineStr">
        <is>
          <t>August 23-27, 2027</t>
        </is>
      </c>
      <c r="P148" s="4" t="inlineStr">
        <is>
          <t>Tallinn, Estonia</t>
        </is>
      </c>
      <c r="Q148" s="2" t="inlineStr">
        <is>
          <t>线下</t>
        </is>
      </c>
      <c r="R148" s="7" t="inlineStr">
        <is>
          <t>待确认</t>
        </is>
      </c>
      <c r="S148" s="4" t="inlineStr">
        <is>
          <t>待确认</t>
        </is>
      </c>
      <c r="T148" s="2" t="inlineStr">
        <is>
          <t>不限</t>
        </is>
      </c>
      <c r="U148" s="2" t="inlineStr">
        <is>
          <t>—</t>
        </is>
      </c>
      <c r="V148" s="4" t="inlineStr">
        <is>
          <t>利好｜通道 Doctoral Consortium</t>
        </is>
      </c>
      <c r="W148" s="2" t="inlineStr">
        <is>
          <t>已核实</t>
        </is>
      </c>
      <c r="X148" s="4" t="inlineStr">
        <is>
          <t>是否到场</t>
        </is>
      </c>
      <c r="Y148" s="7" t="inlineStr">
        <is>
          <t>https://interact2027.org/</t>
        </is>
      </c>
      <c r="Z148" s="4" t="inlineStr">
        <is>
          <t>LNCS 出版，两年一届；核查:官网仅列全篇论文截稿与通知日</t>
        </is>
      </c>
    </row>
    <row r="149" ht="32" customHeight="1">
      <c r="A149" s="8" t="n">
        <v>148</v>
      </c>
      <c r="B149" s="9" t="inlineStr">
        <is>
          <t>WHC</t>
        </is>
      </c>
      <c r="C149" s="10" t="inlineStr">
        <is>
          <t>IEEE World Haptics Conference</t>
        </is>
      </c>
      <c r="D149" s="10" t="inlineStr">
        <is>
          <t>世界触觉大会，触觉感知、力反馈器件与触觉渲染，跨学科</t>
        </is>
      </c>
      <c r="E149" s="8" t="inlineStr">
        <is>
          <t>人机交互与普适计算</t>
        </is>
      </c>
      <c r="F149" s="14" t="inlineStr">
        <is>
          <t>C</t>
        </is>
      </c>
      <c r="G149" s="11" t="inlineStr">
        <is>
          <t>—</t>
        </is>
      </c>
      <c r="H149" s="11" t="n">
        <v>46417.83263888889</v>
      </c>
      <c r="I149" s="12" t="inlineStr">
        <is>
          <t>单轮</t>
        </is>
      </c>
      <c r="J149" s="8" t="inlineStr">
        <is>
          <t>AoE</t>
        </is>
      </c>
      <c r="K149" s="11" t="inlineStr">
        <is>
          <t>—</t>
        </is>
      </c>
      <c r="L149" s="11" t="inlineStr">
        <is>
          <t>2027-04-16</t>
        </is>
      </c>
      <c r="M149" s="8">
        <f>IF(ISNUMBER(H149),IF(H149&gt;'_轮次'!$A$1,"未截止","已截止"),"TBD")</f>
        <v/>
      </c>
      <c r="N149" s="8">
        <f>IF(ISNUMBER(H149),IF(H149&gt;'_轮次'!$A$1,INT(H149-'_轮次'!$A$1),"—"),"—")</f>
        <v/>
      </c>
      <c r="O149" s="12" t="inlineStr">
        <is>
          <t>July 12-15, 2027</t>
        </is>
      </c>
      <c r="P149" s="10" t="inlineStr">
        <is>
          <t>Boston, Massachusetts, USA</t>
        </is>
      </c>
      <c r="Q149" s="8" t="inlineStr">
        <is>
          <t>线下</t>
        </is>
      </c>
      <c r="R149" s="12" t="inlineStr">
        <is>
          <t>必须到场</t>
        </is>
      </c>
      <c r="S149" s="10" t="inlineStr">
        <is>
          <t>不设线上通道</t>
        </is>
      </c>
      <c r="T149" s="8" t="inlineStr">
        <is>
          <t>不限</t>
        </is>
      </c>
      <c r="U149" s="8" t="inlineStr">
        <is>
          <t>—</t>
        </is>
      </c>
      <c r="V149" s="10" t="inlineStr">
        <is>
          <t>利好｜通道 Student Innovation Challenge</t>
        </is>
      </c>
      <c r="W149" s="8" t="inlineStr">
        <is>
          <t>已核实</t>
        </is>
      </c>
      <c r="X149" s="10" t="inlineStr">
        <is>
          <t>—</t>
        </is>
      </c>
      <c r="Y149" s="12" t="inlineStr">
        <is>
          <t>https://2027.worldhaptics.org/</t>
        </is>
      </c>
      <c r="Z149" s="10" t="inlineStr">
        <is>
          <t>IEEE 与 EuroHaptics 合办，两年一届；核查:官网标注日期为暂定，可能调整</t>
        </is>
      </c>
    </row>
    <row r="150" ht="32" customHeight="1">
      <c r="A150" s="2" t="n">
        <v>149</v>
      </c>
      <c r="B150" s="3" t="inlineStr">
        <is>
          <t>ICIC</t>
        </is>
      </c>
      <c r="C150" s="4" t="inlineStr">
        <is>
          <t>International Conference on Intelligent Computing</t>
        </is>
      </c>
      <c r="D150" s="4" t="inlineStr">
        <is>
          <t>智能计算国际会议，覆盖进化计算、模式识别与智能系统应用</t>
        </is>
      </c>
      <c r="E150" s="2" t="inlineStr">
        <is>
          <t>交叉/综合/新兴</t>
        </is>
      </c>
      <c r="F150" s="14" t="inlineStr">
        <is>
          <t>C</t>
        </is>
      </c>
      <c r="G150" s="6" t="inlineStr">
        <is>
          <t>—</t>
        </is>
      </c>
      <c r="H150" s="6" t="n">
        <v>46462.83263888889</v>
      </c>
      <c r="I150" s="7" t="inlineStr">
        <is>
          <t>Regular papers; rebuttal notification April 15, 2027</t>
        </is>
      </c>
      <c r="J150" s="2" t="inlineStr">
        <is>
          <t>AoE</t>
        </is>
      </c>
      <c r="K150" s="6" t="inlineStr">
        <is>
          <t>—</t>
        </is>
      </c>
      <c r="L150" s="6" t="n">
        <v>46500.83263888889</v>
      </c>
      <c r="M150" s="2">
        <f>IF(ISNUMBER(H150),IF(H150&gt;'_轮次'!$A$1,"未截止","已截止"),"TBD")</f>
        <v/>
      </c>
      <c r="N150" s="2">
        <f>IF(ISNUMBER(H150),IF(H150&gt;'_轮次'!$A$1,INT(H150-'_轮次'!$A$1),"—"),"—")</f>
        <v/>
      </c>
      <c r="O150" s="7" t="inlineStr">
        <is>
          <t>July 22-26, 2027</t>
        </is>
      </c>
      <c r="P150" s="4" t="inlineStr">
        <is>
          <t>Jinan, China</t>
        </is>
      </c>
      <c r="Q150" s="2" t="inlineStr">
        <is>
          <t>线下</t>
        </is>
      </c>
      <c r="R150" s="7" t="inlineStr">
        <is>
          <t>待确认</t>
        </is>
      </c>
      <c r="S150" s="4" t="inlineStr">
        <is>
          <t>待确认</t>
        </is>
      </c>
      <c r="T150" s="2" t="inlineStr">
        <is>
          <t>不限</t>
        </is>
      </c>
      <c r="U150" s="2" t="inlineStr">
        <is>
          <t>—</t>
        </is>
      </c>
      <c r="V150" s="4" t="inlineStr">
        <is>
          <t>未找到</t>
        </is>
      </c>
      <c r="W150" s="2" t="inlineStr">
        <is>
          <t>官网不可达</t>
        </is>
      </c>
      <c r="X150" s="4" t="inlineStr">
        <is>
          <t>是否到场、新人条款</t>
        </is>
      </c>
      <c r="Y150" s="7" t="inlineStr">
        <is>
          <t>http://ic-icc.cn/2027/index.php</t>
        </is>
      </c>
      <c r="Z150" s="4" t="inlineStr">
        <is>
          <t>Springer LNCS 系列，录用相对宽松；核查:ic-icc.cn 多次抓取失败，无法核实</t>
        </is>
      </c>
    </row>
    <row r="151" ht="32" customHeight="1">
      <c r="A151" s="8" t="n">
        <v>150</v>
      </c>
      <c r="B151" s="9" t="inlineStr">
        <is>
          <t>ICC</t>
        </is>
      </c>
      <c r="C151" s="10" t="inlineStr">
        <is>
          <t>IEEE International Conference on Communications</t>
        </is>
      </c>
      <c r="D151" s="10" t="inlineStr">
        <is>
          <t>IEEE 通信旗舰大会，无线、光通信与网络全领域，规模极大</t>
        </is>
      </c>
      <c r="E151" s="8" t="inlineStr">
        <is>
          <t>计算机网络</t>
        </is>
      </c>
      <c r="F151" s="14" t="inlineStr">
        <is>
          <t>C</t>
        </is>
      </c>
      <c r="G151" s="11" t="inlineStr">
        <is>
          <t>—</t>
        </is>
      </c>
      <c r="H151" s="11" t="n">
        <v>46326.62430555555</v>
      </c>
      <c r="I151" s="12" t="inlineStr">
        <is>
          <t>单轮</t>
        </is>
      </c>
      <c r="J151" s="8" t="inlineStr">
        <is>
          <t>UTC-7</t>
        </is>
      </c>
      <c r="K151" s="11" t="inlineStr">
        <is>
          <t>—</t>
        </is>
      </c>
      <c r="L151" s="11" t="inlineStr">
        <is>
          <t>2027-01-15</t>
        </is>
      </c>
      <c r="M151" s="8">
        <f>IF(ISNUMBER(H151),IF(H151&gt;'_轮次'!$A$1,"未截止","已截止"),"TBD")</f>
        <v/>
      </c>
      <c r="N151" s="8">
        <f>IF(ISNUMBER(H151),IF(H151&gt;'_轮次'!$A$1,INT(H151-'_轮次'!$A$1),"—"),"—")</f>
        <v/>
      </c>
      <c r="O151" s="12" t="inlineStr">
        <is>
          <t>May 30 - June 3, 2027</t>
        </is>
      </c>
      <c r="P151" s="10" t="inlineStr">
        <is>
          <t>Washington, DC, USA</t>
        </is>
      </c>
      <c r="Q151" s="8" t="inlineStr">
        <is>
          <t>线下</t>
        </is>
      </c>
      <c r="R151" s="12" t="inlineStr">
        <is>
          <t>必须到场</t>
        </is>
      </c>
      <c r="S151" s="10" t="inlineStr">
        <is>
          <t>无线上参会，全线下举办</t>
        </is>
      </c>
      <c r="T151" s="8" t="inlineStr">
        <is>
          <t>不限</t>
        </is>
      </c>
      <c r="U151" s="8" t="inlineStr">
        <is>
          <t>—</t>
        </is>
      </c>
      <c r="V151" s="10" t="inlineStr">
        <is>
          <t>无专属条款</t>
        </is>
      </c>
      <c r="W151" s="8" t="inlineStr">
        <is>
          <t>已核实</t>
        </is>
      </c>
      <c r="X151" s="10" t="inlineStr">
        <is>
          <t>—</t>
        </is>
      </c>
      <c r="Y151" s="12" t="inlineStr">
        <is>
          <t>https://icc2027.ieee-icc.org</t>
        </is>
      </c>
      <c r="Z151" s="10" t="inlineStr">
        <is>
          <t>设多个专题 track，工业界参与多；核查:官网明确 fully in-person</t>
        </is>
      </c>
    </row>
    <row r="152" ht="32" customHeight="1">
      <c r="A152" s="2" t="n">
        <v>151</v>
      </c>
      <c r="B152" s="3" t="inlineStr">
        <is>
          <t>ICCCN</t>
        </is>
      </c>
      <c r="C152" s="4" t="inlineStr">
        <is>
          <t>IEEE International Conference on Computer Communications and Networks</t>
        </is>
      </c>
      <c r="D152" s="4" t="inlineStr">
        <is>
          <t>计算机通信与网络会议，网络协议、边缘计算与网络安全</t>
        </is>
      </c>
      <c r="E152" s="2" t="inlineStr">
        <is>
          <t>计算机网络</t>
        </is>
      </c>
      <c r="F152" s="14" t="inlineStr">
        <is>
          <t>C</t>
        </is>
      </c>
      <c r="G152" s="6" t="n">
        <v>46431.83263888889</v>
      </c>
      <c r="H152" s="6" t="n">
        <v>46438.83263888889</v>
      </c>
      <c r="I152" s="7" t="inlineStr">
        <is>
          <t>单轮</t>
        </is>
      </c>
      <c r="J152" s="2" t="inlineStr">
        <is>
          <t>AoE</t>
        </is>
      </c>
      <c r="K152" s="6" t="inlineStr">
        <is>
          <t>—</t>
        </is>
      </c>
      <c r="L152" s="6" t="inlineStr">
        <is>
          <t>2027-04-16</t>
        </is>
      </c>
      <c r="M152" s="2">
        <f>IF(ISNUMBER(H152),IF(H152&gt;'_轮次'!$A$1,"未截止","已截止"),"TBD")</f>
        <v/>
      </c>
      <c r="N152" s="2">
        <f>IF(ISNUMBER(H152),IF(H152&gt;'_轮次'!$A$1,INT(H152-'_轮次'!$A$1),"—"),"—")</f>
        <v/>
      </c>
      <c r="O152" s="7" t="inlineStr">
        <is>
          <t>July 12-15, 2027</t>
        </is>
      </c>
      <c r="P152" s="4" t="inlineStr">
        <is>
          <t>Rome, Italy</t>
        </is>
      </c>
      <c r="Q152" s="2" t="inlineStr">
        <is>
          <t>线下</t>
        </is>
      </c>
      <c r="R152" s="7" t="inlineStr">
        <is>
          <t>必须到场</t>
        </is>
      </c>
      <c r="S152" s="4" t="inlineStr">
        <is>
          <t>不允许线上报告</t>
        </is>
      </c>
      <c r="T152" s="2" t="inlineStr">
        <is>
          <t>不限</t>
        </is>
      </c>
      <c r="U152" s="2" t="inlineStr">
        <is>
          <t>—</t>
        </is>
      </c>
      <c r="V152" s="4" t="inlineStr">
        <is>
          <t>无专属条款</t>
        </is>
      </c>
      <c r="W152" s="2" t="inlineStr">
        <is>
          <t>已核实</t>
        </is>
      </c>
      <c r="X152" s="4" t="inlineStr">
        <is>
          <t>—</t>
        </is>
      </c>
      <c r="Y152" s="7" t="inlineStr">
        <is>
          <t>http://www.icccn.org/ICCCN27/</t>
        </is>
      </c>
      <c r="Z152" s="4" t="inlineStr">
        <is>
          <t>IEEE 出版，设 poster 与 workshop；核查:线下要求见官方CFP，日期来自第三方汇总</t>
        </is>
      </c>
    </row>
    <row r="153" ht="32" customHeight="1">
      <c r="A153" s="8" t="n">
        <v>152</v>
      </c>
      <c r="B153" s="9" t="inlineStr">
        <is>
          <t>WCNC</t>
        </is>
      </c>
      <c r="C153" s="10" t="inlineStr">
        <is>
          <t>IEEE Wireless Communications and Networking Conference</t>
        </is>
      </c>
      <c r="D153" s="10" t="inlineStr">
        <is>
          <t>IEEE 无线通信与网络会议，无线接入、5G/6G 组网，工业界参与多</t>
        </is>
      </c>
      <c r="E153" s="8" t="inlineStr">
        <is>
          <t>计算机网络</t>
        </is>
      </c>
      <c r="F153" s="14" t="inlineStr">
        <is>
          <t>C</t>
        </is>
      </c>
      <c r="G153" s="11" t="inlineStr">
        <is>
          <t>—</t>
        </is>
      </c>
      <c r="H153" s="11" t="n">
        <v>46281.83263888889</v>
      </c>
      <c r="I153" s="12" t="inlineStr">
        <is>
          <t>Technical papers; official IEEE ComSoc calendar date. Clock 23:59:59 and timezone AoE are repository defaults, not published cutoff precision.</t>
        </is>
      </c>
      <c r="J153" s="8" t="inlineStr">
        <is>
          <t>AoE</t>
        </is>
      </c>
      <c r="K153" s="11" t="inlineStr">
        <is>
          <t>—</t>
        </is>
      </c>
      <c r="L153" s="11" t="inlineStr">
        <is>
          <t>2027-01-15</t>
        </is>
      </c>
      <c r="M153" s="8">
        <f>IF(ISNUMBER(H153),IF(H153&gt;'_轮次'!$A$1,"未截止","已截止"),"TBD")</f>
        <v/>
      </c>
      <c r="N153" s="8">
        <f>IF(ISNUMBER(H153),IF(H153&gt;'_轮次'!$A$1,INT(H153-'_轮次'!$A$1),"—"),"—")</f>
        <v/>
      </c>
      <c r="O153" s="12" t="inlineStr">
        <is>
          <t>April 5-8, 2027</t>
        </is>
      </c>
      <c r="P153" s="10" t="inlineStr">
        <is>
          <t>Panama City, Panama</t>
        </is>
      </c>
      <c r="Q153" s="8" t="inlineStr">
        <is>
          <t>线下</t>
        </is>
      </c>
      <c r="R153" s="12" t="inlineStr">
        <is>
          <t>必须到场</t>
        </is>
      </c>
      <c r="S153" s="10" t="inlineStr">
        <is>
          <t>线下举办，无线上参会</t>
        </is>
      </c>
      <c r="T153" s="8" t="inlineStr">
        <is>
          <t>不限</t>
        </is>
      </c>
      <c r="U153" s="8" t="inlineStr">
        <is>
          <t>—</t>
        </is>
      </c>
      <c r="V153" s="10" t="inlineStr">
        <is>
          <t>无专属条款</t>
        </is>
      </c>
      <c r="W153" s="8" t="inlineStr">
        <is>
          <t>已核实</t>
        </is>
      </c>
      <c r="X153" s="10" t="inlineStr">
        <is>
          <t>—</t>
        </is>
      </c>
      <c r="Y153" s="12" t="inlineStr">
        <is>
          <t>https://wcnc2027.ieee-wcnc.org/</t>
        </is>
      </c>
      <c r="Z153" s="10" t="inlineStr">
        <is>
          <t>IEEE ComSoc 主办，年度系列；核查:官网称 conducted in person</t>
        </is>
      </c>
    </row>
    <row r="154" ht="32" customHeight="1">
      <c r="A154" s="2" t="n">
        <v>153</v>
      </c>
      <c r="B154" s="3" t="inlineStr">
        <is>
          <t>WoWMoM</t>
        </is>
      </c>
      <c r="C154" s="4" t="inlineStr">
        <is>
          <t>IEEE International Symposium on a World of Wireless, Mobile and Multimedia Networks</t>
        </is>
      </c>
      <c r="D154" s="4" t="inlineStr">
        <is>
          <t>无线移动与多媒体网络研讨会，无线组网、移动边缘与 QoE 实测</t>
        </is>
      </c>
      <c r="E154" s="2" t="inlineStr">
        <is>
          <t>计算机网络</t>
        </is>
      </c>
      <c r="F154" s="14" t="inlineStr">
        <is>
          <t>C</t>
        </is>
      </c>
      <c r="G154" s="6" t="inlineStr">
        <is>
          <t>—</t>
        </is>
      </c>
      <c r="H154" s="6" t="n">
        <v>46358.83263888889</v>
      </c>
      <c r="I154" s="7" t="inlineStr">
        <is>
          <t>单轮</t>
        </is>
      </c>
      <c r="J154" s="2" t="inlineStr">
        <is>
          <t>AoE</t>
        </is>
      </c>
      <c r="K154" s="6" t="inlineStr">
        <is>
          <t>—</t>
        </is>
      </c>
      <c r="L154" s="6" t="inlineStr">
        <is>
          <t>2027-02-10</t>
        </is>
      </c>
      <c r="M154" s="2">
        <f>IF(ISNUMBER(H154),IF(H154&gt;'_轮次'!$A$1,"未截止","已截止"),"TBD")</f>
        <v/>
      </c>
      <c r="N154" s="2">
        <f>IF(ISNUMBER(H154),IF(H154&gt;'_轮次'!$A$1,INT(H154-'_轮次'!$A$1),"—"),"—")</f>
        <v/>
      </c>
      <c r="O154" s="7" t="inlineStr">
        <is>
          <t>June 21-24, 2027</t>
        </is>
      </c>
      <c r="P154" s="4" t="inlineStr">
        <is>
          <t>Irvine, California, USA</t>
        </is>
      </c>
      <c r="Q154" s="2" t="inlineStr">
        <is>
          <t>线下</t>
        </is>
      </c>
      <c r="R154" s="7" t="inlineStr">
        <is>
          <t>必须到场</t>
        </is>
      </c>
      <c r="S154" s="4" t="inlineStr">
        <is>
          <t>不提供线上报告</t>
        </is>
      </c>
      <c r="T154" s="2" t="inlineStr">
        <is>
          <t>不限</t>
        </is>
      </c>
      <c r="U154" s="2" t="inlineStr">
        <is>
          <t>—</t>
        </is>
      </c>
      <c r="V154" s="4" t="inlineStr">
        <is>
          <t>无专属条款</t>
        </is>
      </c>
      <c r="W154" s="2" t="inlineStr">
        <is>
          <t>已核实</t>
        </is>
      </c>
      <c r="X154" s="4" t="inlineStr">
        <is>
          <t>—</t>
        </is>
      </c>
      <c r="Y154" s="7" t="inlineStr">
        <is>
          <t>https://wowmom2027.dii.unipi.it/index.html</t>
        </is>
      </c>
      <c r="Z154" s="4" t="inlineStr">
        <is>
          <t>IEEE 出版，偏系统实现与测量；核查:明确为in-person会议，远程报告不接受</t>
        </is>
      </c>
    </row>
    <row r="155" ht="32" customHeight="1">
      <c r="A155" s="8" t="n">
        <v>154</v>
      </c>
      <c r="B155" s="9" t="inlineStr">
        <is>
          <t>ACISP</t>
        </is>
      </c>
      <c r="C155" s="10" t="inlineStr">
        <is>
          <t>Australasia Conference on Information Security and Privacy</t>
        </is>
      </c>
      <c r="D155" s="10" t="inlineStr">
        <is>
          <t>亚太地区信息安全与隐私会议，密码学与系统安全并重，投稿门槛适中</t>
        </is>
      </c>
      <c r="E155" s="8" t="inlineStr">
        <is>
          <t>网络与信息安全</t>
        </is>
      </c>
      <c r="F155" s="14" t="inlineStr">
        <is>
          <t>C</t>
        </is>
      </c>
      <c r="G155" s="11">
        <f>IF(ISNUMBER(H155),IF(N(INDEX('_轮次'!$N$155:$Y$155,MATCH(H155,'_轮次'!$B$155:$M$155,0)))=0,"—",INDEX('_轮次'!$N$155:$Y$155,MATCH(H155,'_轮次'!$B$155:$M$155,0))),"—")</f>
        <v/>
      </c>
      <c r="H155" s="11">
        <f>IF(COUNT('_轮次'!$B$155:$M$155)=0,"待公布",IF(COUNTIF('_轮次'!$B$155:$M$155,"&gt;"&amp;'_轮次'!$A$1)&gt;0,SMALL('_轮次'!$B$155:$M$155,COUNTIF('_轮次'!$B$155:$M$155,"&lt;="&amp;'_轮次'!$A$1)+1),MAX('_轮次'!$B$155:$M$155)))</f>
        <v/>
      </c>
      <c r="I155" s="12">
        <f>IF(ISNUMBER(H155),INDEX('_轮次'!$AX$155:$BI$155,MATCH(H155,'_轮次'!$B$155:$M$155,0)),"—")</f>
        <v/>
      </c>
      <c r="J155" s="8" t="inlineStr">
        <is>
          <t>AoE</t>
        </is>
      </c>
      <c r="K155" s="11">
        <f>IF(ISNUMBER(H155),IF(N(INDEX('_轮次'!$Z$155:$AK$155,MATCH(H155,'_轮次'!$B$155:$M$155,0)))=0,"—",INDEX('_轮次'!$Z$155:$AK$155,MATCH(H155,'_轮次'!$B$155:$M$155,0))),"—")</f>
        <v/>
      </c>
      <c r="L155" s="11">
        <f>IF(ISNUMBER(H155),IF(N(INDEX('_轮次'!$AL$155:$AW$155,MATCH(H155,'_轮次'!$B$155:$M$155,0)))=0,"—",INDEX('_轮次'!$AL$155:$AW$155,MATCH(H155,'_轮次'!$B$155:$M$155,0))),"—")</f>
        <v/>
      </c>
      <c r="M155" s="8">
        <f>IF(ISNUMBER(H155),IF(H155&gt;'_轮次'!$A$1,"未截止","已截止"),"TBD")</f>
        <v/>
      </c>
      <c r="N155" s="8">
        <f>IF(ISNUMBER(H155),IF(H155&gt;'_轮次'!$A$1,INT(H155-'_轮次'!$A$1),"—"),"—")</f>
        <v/>
      </c>
      <c r="O155" s="12" t="inlineStr">
        <is>
          <t>July 7-10, 2027</t>
        </is>
      </c>
      <c r="P155" s="10" t="inlineStr">
        <is>
          <t>Melbourne, Australia</t>
        </is>
      </c>
      <c r="Q155" s="8" t="inlineStr">
        <is>
          <t>线下</t>
        </is>
      </c>
      <c r="R155" s="12" t="inlineStr">
        <is>
          <t>必须到场</t>
        </is>
      </c>
      <c r="S155" s="10" t="inlineStr">
        <is>
          <t>未提供线上参会</t>
        </is>
      </c>
      <c r="T155" s="8" t="inlineStr">
        <is>
          <t>不限</t>
        </is>
      </c>
      <c r="U155" s="8" t="inlineStr">
        <is>
          <t>—</t>
        </is>
      </c>
      <c r="V155" s="10" t="inlineStr">
        <is>
          <t>无专属条款</t>
        </is>
      </c>
      <c r="W155" s="8" t="inlineStr">
        <is>
          <t>已核实</t>
        </is>
      </c>
      <c r="X155" s="10" t="inlineStr">
        <is>
          <t>—</t>
        </is>
      </c>
      <c r="Y155" s="12" t="inlineStr">
        <is>
          <t>https://acisp.org/</t>
        </is>
      </c>
      <c r="Z155" s="10" t="inlineStr">
        <is>
          <t>澳洲主办，LNCS 出版；核查:两轮：Round2 2027-03-01截稿/04-16通知；全部轮次 1st round Deadline:2026-12-01 / 2nd round Deadline:2027-03-02</t>
        </is>
      </c>
    </row>
    <row r="156" ht="32" customHeight="1">
      <c r="A156" s="2" t="n">
        <v>155</v>
      </c>
      <c r="B156" s="3" t="inlineStr">
        <is>
          <t>ACNS</t>
        </is>
      </c>
      <c r="C156" s="4" t="inlineStr">
        <is>
          <t>Applied Cryptography and Network Security</t>
        </is>
      </c>
      <c r="D156" s="4" t="inlineStr">
        <is>
          <t>应用密码学与网络安全会议，偏工程实用，接收密码协议与系统安全工作</t>
        </is>
      </c>
      <c r="E156" s="2" t="inlineStr">
        <is>
          <t>网络与信息安全</t>
        </is>
      </c>
      <c r="F156" s="14" t="inlineStr">
        <is>
          <t>C</t>
        </is>
      </c>
      <c r="G156" s="6">
        <f>IF(ISNUMBER(H156),IF(N(INDEX('_轮次'!$N$156:$Y$156,MATCH(H156,'_轮次'!$B$156:$M$156,0)))=0,"—",INDEX('_轮次'!$N$156:$Y$156,MATCH(H156,'_轮次'!$B$156:$M$156,0))),"—")</f>
        <v/>
      </c>
      <c r="H156" s="6">
        <f>IF(COUNT('_轮次'!$B$156:$M$156)=0,"待公布",IF(COUNTIF('_轮次'!$B$156:$M$156,"&gt;"&amp;'_轮次'!$A$1)&gt;0,SMALL('_轮次'!$B$156:$M$156,COUNTIF('_轮次'!$B$156:$M$156,"&lt;="&amp;'_轮次'!$A$1)+1),MAX('_轮次'!$B$156:$M$156)))</f>
        <v/>
      </c>
      <c r="I156" s="7">
        <f>IF(ISNUMBER(H156),INDEX('_轮次'!$AX$156:$BI$156,MATCH(H156,'_轮次'!$B$156:$M$156,0)),"—")</f>
        <v/>
      </c>
      <c r="J156" s="2" t="inlineStr">
        <is>
          <t>AoE</t>
        </is>
      </c>
      <c r="K156" s="6">
        <f>IF(ISNUMBER(H156),IF(N(INDEX('_轮次'!$Z$156:$AK$156,MATCH(H156,'_轮次'!$B$156:$M$156,0)))=0,"—",INDEX('_轮次'!$Z$156:$AK$156,MATCH(H156,'_轮次'!$B$156:$M$156,0))),"—")</f>
        <v/>
      </c>
      <c r="L156" s="6">
        <f>IF(ISNUMBER(H156),IF(N(INDEX('_轮次'!$AL$156:$AW$156,MATCH(H156,'_轮次'!$B$156:$M$156,0)))=0,"—",INDEX('_轮次'!$AL$156:$AW$156,MATCH(H156,'_轮次'!$B$156:$M$156,0))),"—")</f>
        <v/>
      </c>
      <c r="M156" s="2">
        <f>IF(ISNUMBER(H156),IF(H156&gt;'_轮次'!$A$1,"未截止","已截止"),"TBD")</f>
        <v/>
      </c>
      <c r="N156" s="2">
        <f>IF(ISNUMBER(H156),IF(H156&gt;'_轮次'!$A$1,INT(H156-'_轮次'!$A$1),"—"),"—")</f>
        <v/>
      </c>
      <c r="O156" s="7" t="inlineStr">
        <is>
          <t>June 28 - July 1, 2027</t>
        </is>
      </c>
      <c r="P156" s="4" t="inlineStr">
        <is>
          <t>Royal Holloway, Egham, UK</t>
        </is>
      </c>
      <c r="Q156" s="2" t="inlineStr">
        <is>
          <t>线下</t>
        </is>
      </c>
      <c r="R156" s="7" t="inlineStr">
        <is>
          <t>必须到场</t>
        </is>
      </c>
      <c r="S156" s="4" t="inlineStr">
        <is>
          <t>不接收远程报告与视频</t>
        </is>
      </c>
      <c r="T156" s="2" t="inlineStr">
        <is>
          <t>不限</t>
        </is>
      </c>
      <c r="U156" s="2" t="inlineStr">
        <is>
          <t>—</t>
        </is>
      </c>
      <c r="V156" s="4" t="inlineStr">
        <is>
          <t>硬性｜HotCRP 账号，无额外门槛</t>
        </is>
      </c>
      <c r="W156" s="2" t="inlineStr">
        <is>
          <t>已核实</t>
        </is>
      </c>
      <c r="X156" s="4" t="inlineStr">
        <is>
          <t>—</t>
        </is>
      </c>
      <c r="Y156" s="7" t="inlineStr">
        <is>
          <t>https://acns2027.isg.rhul.ac.uk/</t>
        </is>
      </c>
      <c r="Z156" s="4" t="inlineStr">
        <is>
          <t>LNCS 出版，密码与网络安全并重；核查:两轮：Cycle2 2027-01-21截稿/03-25通知；全部轮次 Cycle 1 Submission deadline:2026-09-25 / Cycle 2 Submission deadline:2027-01-22</t>
        </is>
      </c>
    </row>
    <row r="157" ht="32" customHeight="1">
      <c r="A157" s="8" t="n">
        <v>156</v>
      </c>
      <c r="B157" s="9" t="inlineStr">
        <is>
          <t>AsiaCCS</t>
        </is>
      </c>
      <c r="C157" s="10" t="inlineStr">
        <is>
          <t>Asia Conference on Computer and Communications Security</t>
        </is>
      </c>
      <c r="D157" s="10" t="inlineStr">
        <is>
          <t>亚太信息安全旗舰会议，安全四大之外优选，系统与密码学方向都收</t>
        </is>
      </c>
      <c r="E157" s="8" t="inlineStr">
        <is>
          <t>网络与信息安全</t>
        </is>
      </c>
      <c r="F157" s="14" t="inlineStr">
        <is>
          <t>C</t>
        </is>
      </c>
      <c r="G157" s="11">
        <f>IF(ISNUMBER(H157),IF(N(INDEX('_轮次'!$N$157:$Y$157,MATCH(H157,'_轮次'!$B$157:$M$157,0)))=0,"—",INDEX('_轮次'!$N$157:$Y$157,MATCH(H157,'_轮次'!$B$157:$M$157,0))),"—")</f>
        <v/>
      </c>
      <c r="H157" s="11">
        <f>IF(COUNT('_轮次'!$B$157:$M$157)=0,"待公布",IF(COUNTIF('_轮次'!$B$157:$M$157,"&gt;"&amp;'_轮次'!$A$1)&gt;0,SMALL('_轮次'!$B$157:$M$157,COUNTIF('_轮次'!$B$157:$M$157,"&lt;="&amp;'_轮次'!$A$1)+1),MAX('_轮次'!$B$157:$M$157)))</f>
        <v/>
      </c>
      <c r="I157" s="12">
        <f>IF(ISNUMBER(H157),INDEX('_轮次'!$AX$157:$BI$157,MATCH(H157,'_轮次'!$B$157:$M$157,0)),"—")</f>
        <v/>
      </c>
      <c r="J157" s="8" t="inlineStr">
        <is>
          <t>AoE</t>
        </is>
      </c>
      <c r="K157" s="11">
        <f>IF(ISNUMBER(H157),IF(N(INDEX('_轮次'!$Z$157:$AK$157,MATCH(H157,'_轮次'!$B$157:$M$157,0)))=0,"—",INDEX('_轮次'!$Z$157:$AK$157,MATCH(H157,'_轮次'!$B$157:$M$157,0))),"—")</f>
        <v/>
      </c>
      <c r="L157" s="11">
        <f>IF(ISNUMBER(H157),IF(N(INDEX('_轮次'!$AL$157:$AW$157,MATCH(H157,'_轮次'!$B$157:$M$157,0)))=0,"—",INDEX('_轮次'!$AL$157:$AW$157,MATCH(H157,'_轮次'!$B$157:$M$157,0))),"—")</f>
        <v/>
      </c>
      <c r="M157" s="8">
        <f>IF(ISNUMBER(H157),IF(H157&gt;'_轮次'!$A$1,"未截止","已截止"),"TBD")</f>
        <v/>
      </c>
      <c r="N157" s="8">
        <f>IF(ISNUMBER(H157),IF(H157&gt;'_轮次'!$A$1,INT(H157-'_轮次'!$A$1),"—"),"—")</f>
        <v/>
      </c>
      <c r="O157" s="12" t="inlineStr">
        <is>
          <t>July 12-16, 2027</t>
        </is>
      </c>
      <c r="P157" s="10" t="inlineStr">
        <is>
          <t>Macau, China</t>
        </is>
      </c>
      <c r="Q157" s="8" t="inlineStr">
        <is>
          <t>线下</t>
        </is>
      </c>
      <c r="R157" s="12" t="inlineStr">
        <is>
          <t>必须到场</t>
        </is>
      </c>
      <c r="S157" s="10" t="inlineStr">
        <is>
          <t>未提供虚拟参会</t>
        </is>
      </c>
      <c r="T157" s="8" t="inlineStr">
        <is>
          <t>不限</t>
        </is>
      </c>
      <c r="U157" s="8" t="inlineStr">
        <is>
          <t>—</t>
        </is>
      </c>
      <c r="V157" s="10" t="inlineStr">
        <is>
          <t>硬性｜所有作者须投稿前提供 ORCID</t>
        </is>
      </c>
      <c r="W157" s="8" t="inlineStr">
        <is>
          <t>已核实</t>
        </is>
      </c>
      <c r="X157" s="10" t="inlineStr">
        <is>
          <t>—</t>
        </is>
      </c>
      <c r="Y157" s="12" t="inlineStr">
        <is>
          <t>https://asiaccs2027.cityu.edu.mo/index.html</t>
        </is>
      </c>
      <c r="Z157" s="10" t="inlineStr">
        <is>
          <t>ACM SIGSAC 主办，录用率相对友好；核查:两轮：Cycle2 2026-12-11截稿/2027-03-31通知；全部轮次 1st round Deadline:2026-08-22 / 2nd round Deadline:2026-12-12</t>
        </is>
      </c>
    </row>
    <row r="158" ht="32" customHeight="1">
      <c r="A158" s="2" t="n">
        <v>157</v>
      </c>
      <c r="B158" s="3" t="inlineStr">
        <is>
          <t>BlockSys</t>
        </is>
      </c>
      <c r="C158" s="4" t="inlineStr">
        <is>
          <t>International Conference on Blockchain, Artificial Intelligence, and Trustworthy Systems</t>
        </is>
      </c>
      <c r="D158" s="4" t="inlineStr">
        <is>
          <t>区块链与可信系统方向会议，兼顾 AI 安全，接收系统实现类工作</t>
        </is>
      </c>
      <c r="E158" s="2" t="inlineStr">
        <is>
          <t>网络与信息安全</t>
        </is>
      </c>
      <c r="F158" s="14" t="inlineStr">
        <is>
          <t>C</t>
        </is>
      </c>
      <c r="G158" s="6">
        <f>IF(ISNUMBER(H158),IF(N(INDEX('_轮次'!$N$158:$Y$158,MATCH(H158,'_轮次'!$B$158:$M$158,0)))=0,"—",INDEX('_轮次'!$N$158:$Y$158,MATCH(H158,'_轮次'!$B$158:$M$158,0))),"—")</f>
        <v/>
      </c>
      <c r="H158" s="6">
        <f>IF(COUNT('_轮次'!$B$158:$M$158)=0,"待公布",IF(COUNTIF('_轮次'!$B$158:$M$158,"&gt;"&amp;'_轮次'!$A$1)&gt;0,SMALL('_轮次'!$B$158:$M$158,COUNTIF('_轮次'!$B$158:$M$158,"&lt;="&amp;'_轮次'!$A$1)+1),MAX('_轮次'!$B$158:$M$158)))</f>
        <v/>
      </c>
      <c r="I158" s="7">
        <f>IF(ISNUMBER(H158),INDEX('_轮次'!$AX$158:$BI$158,MATCH(H158,'_轮次'!$B$158:$M$158,0)),"—")</f>
        <v/>
      </c>
      <c r="J158" s="2" t="inlineStr">
        <is>
          <t>AoE</t>
        </is>
      </c>
      <c r="K158" s="6">
        <f>IF(ISNUMBER(H158),IF(N(INDEX('_轮次'!$Z$158:$AK$158,MATCH(H158,'_轮次'!$B$158:$M$158,0)))=0,"—",INDEX('_轮次'!$Z$158:$AK$158,MATCH(H158,'_轮次'!$B$158:$M$158,0))),"—")</f>
        <v/>
      </c>
      <c r="L158" s="6">
        <f>IF(ISNUMBER(H158),IF(N(INDEX('_轮次'!$AL$158:$AW$158,MATCH(H158,'_轮次'!$B$158:$M$158,0)))=0,"—",INDEX('_轮次'!$AL$158:$AW$158,MATCH(H158,'_轮次'!$B$158:$M$158,0))),"—")</f>
        <v/>
      </c>
      <c r="M158" s="2">
        <f>IF(ISNUMBER(H158),IF(H158&gt;'_轮次'!$A$1,"未截止","已截止"),"TBD")</f>
        <v/>
      </c>
      <c r="N158" s="2">
        <f>IF(ISNUMBER(H158),IF(H158&gt;'_轮次'!$A$1,INT(H158-'_轮次'!$A$1),"—"),"—")</f>
        <v/>
      </c>
      <c r="O158" s="7" t="inlineStr">
        <is>
          <t>April 9-11, 2027</t>
        </is>
      </c>
      <c r="P158" s="4" t="inlineStr">
        <is>
          <t>Foshan, China</t>
        </is>
      </c>
      <c r="Q158" s="2" t="inlineStr">
        <is>
          <t>线下</t>
        </is>
      </c>
      <c r="R158" s="7" t="inlineStr">
        <is>
          <t>待确认</t>
        </is>
      </c>
      <c r="S158" s="4" t="inlineStr">
        <is>
          <t>待确认</t>
        </is>
      </c>
      <c r="T158" s="2" t="inlineStr">
        <is>
          <t>不限</t>
        </is>
      </c>
      <c r="U158" s="2" t="inlineStr">
        <is>
          <t>—</t>
        </is>
      </c>
      <c r="V158" s="4" t="inlineStr">
        <is>
          <t>硬性｜EasyChair 账号，无额外门槛</t>
        </is>
      </c>
      <c r="W158" s="2" t="inlineStr">
        <is>
          <t>已核实</t>
        </is>
      </c>
      <c r="X158" s="4" t="inlineStr">
        <is>
          <t>是否到场</t>
        </is>
      </c>
      <c r="Y158" s="7" t="inlineStr">
        <is>
          <t>https://blocksys.info/2027/</t>
        </is>
      </c>
      <c r="Z158" s="4" t="inlineStr">
        <is>
          <t>国内主办，规模较小；核查:两轮：Round2 2027-01-31截稿/03-15通知；未写参会方式；全部轮次 Round 1 Submission Deadline:2026-12-01 / Round 2 Submission Deadline:2027-02-01</t>
        </is>
      </c>
    </row>
    <row r="159" ht="32" customHeight="1">
      <c r="A159" s="8" t="n">
        <v>158</v>
      </c>
      <c r="B159" s="9" t="inlineStr">
        <is>
          <t>CODASPY</t>
        </is>
      </c>
      <c r="C159" s="10" t="inlineStr">
        <is>
          <t>ACM Conference on Data and Application Security and Privacy</t>
        </is>
      </c>
      <c r="D159" s="10" t="inlineStr">
        <is>
          <t>数据与应用安全隐私会议，侧重数据保护、隐私计算与实际部署</t>
        </is>
      </c>
      <c r="E159" s="8" t="inlineStr">
        <is>
          <t>网络与信息安全</t>
        </is>
      </c>
      <c r="F159" s="14" t="inlineStr">
        <is>
          <t>C</t>
        </is>
      </c>
      <c r="G159" s="11" t="n">
        <v>46343.83263888889</v>
      </c>
      <c r="H159" s="11" t="n">
        <v>46350.83263888889</v>
      </c>
      <c r="I159" s="12" t="inlineStr">
        <is>
          <t>单轮</t>
        </is>
      </c>
      <c r="J159" s="8" t="inlineStr">
        <is>
          <t>AoE</t>
        </is>
      </c>
      <c r="K159" s="11" t="n">
        <v>46410.83263888889</v>
      </c>
      <c r="L159" s="11" t="inlineStr">
        <is>
          <t>2027-01-25</t>
        </is>
      </c>
      <c r="M159" s="8">
        <f>IF(ISNUMBER(H159),IF(H159&gt;'_轮次'!$A$1,"未截止","已截止"),"TBD")</f>
        <v/>
      </c>
      <c r="N159" s="8">
        <f>IF(ISNUMBER(H159),IF(H159&gt;'_轮次'!$A$1,INT(H159-'_轮次'!$A$1),"—"),"—")</f>
        <v/>
      </c>
      <c r="O159" s="12" t="inlineStr">
        <is>
          <t>June 14-17, 2027</t>
        </is>
      </c>
      <c r="P159" s="10" t="inlineStr">
        <is>
          <t>Fort Collins, Colorado, USA</t>
        </is>
      </c>
      <c r="Q159" s="8" t="inlineStr">
        <is>
          <t>线下</t>
        </is>
      </c>
      <c r="R159" s="12" t="inlineStr">
        <is>
          <t>必须到场</t>
        </is>
      </c>
      <c r="S159" s="10" t="inlineStr">
        <is>
          <t>提供线上参会通道</t>
        </is>
      </c>
      <c r="T159" s="8" t="inlineStr">
        <is>
          <t>不限</t>
        </is>
      </c>
      <c r="U159" s="8" t="inlineStr">
        <is>
          <t>—</t>
        </is>
      </c>
      <c r="V159" s="10" t="inlineStr">
        <is>
          <t>利好｜ACM Open APC 补贴 500/750 美元</t>
        </is>
      </c>
      <c r="W159" s="8" t="inlineStr">
        <is>
          <t>已核实</t>
        </is>
      </c>
      <c r="X159" s="10" t="inlineStr">
        <is>
          <t>—</t>
        </is>
      </c>
      <c r="Y159" s="12" t="inlineStr">
        <is>
          <t>https://www.codaspy.org/2027/</t>
        </is>
      </c>
      <c r="Z159" s="10" t="inlineStr">
        <is>
          <t>ACM 主办，偏数据安全与隐私工程；核查:摘要11-16截止；未写参会形式与作者篇数上限</t>
        </is>
      </c>
    </row>
    <row r="160" ht="32" customHeight="1">
      <c r="A160" s="2" t="n">
        <v>159</v>
      </c>
      <c r="B160" s="3" t="inlineStr">
        <is>
          <t>CT-RSA</t>
        </is>
      </c>
      <c r="C160" s="4" t="inlineStr">
        <is>
          <t>Cryptographer's Track at RSA Conference</t>
        </is>
      </c>
      <c r="D160" s="4" t="inlineStr">
        <is>
          <t>RSA 大会的密码学分会，偏应用密码与工业落地，审稿反馈较快</t>
        </is>
      </c>
      <c r="E160" s="2" t="inlineStr">
        <is>
          <t>网络与信息安全</t>
        </is>
      </c>
      <c r="F160" s="14" t="inlineStr">
        <is>
          <t>C</t>
        </is>
      </c>
      <c r="G160" s="6" t="inlineStr">
        <is>
          <t>—</t>
        </is>
      </c>
      <c r="H160" s="6" t="n">
        <v>46318.83263888889</v>
      </c>
      <c r="I160" s="7" t="inlineStr">
        <is>
          <t>Paper submission deadline</t>
        </is>
      </c>
      <c r="J160" s="2" t="inlineStr">
        <is>
          <t>UTC-12</t>
        </is>
      </c>
      <c r="K160" s="6" t="inlineStr">
        <is>
          <t>—</t>
        </is>
      </c>
      <c r="L160" s="6" t="inlineStr">
        <is>
          <t>2026-12-03</t>
        </is>
      </c>
      <c r="M160" s="2">
        <f>IF(ISNUMBER(H160),IF(H160&gt;'_轮次'!$A$1,"未截止","已截止"),"TBD")</f>
        <v/>
      </c>
      <c r="N160" s="2">
        <f>IF(ISNUMBER(H160),IF(H160&gt;'_轮次'!$A$1,INT(H160-'_轮次'!$A$1),"—"),"—")</f>
        <v/>
      </c>
      <c r="O160" s="7" t="inlineStr">
        <is>
          <t>April 5-8, 2027</t>
        </is>
      </c>
      <c r="P160" s="4" t="inlineStr">
        <is>
          <t>San Francisco, California, USA</t>
        </is>
      </c>
      <c r="Q160" s="2" t="inlineStr">
        <is>
          <t>线下</t>
        </is>
      </c>
      <c r="R160" s="7" t="inlineStr">
        <is>
          <t>必须到场</t>
        </is>
      </c>
      <c r="S160" s="4" t="inlineStr">
        <is>
          <t>待确认</t>
        </is>
      </c>
      <c r="T160" s="2" t="inlineStr">
        <is>
          <t>不限</t>
        </is>
      </c>
      <c r="U160" s="2" t="inlineStr">
        <is>
          <t>—</t>
        </is>
      </c>
      <c r="V160" s="4" t="inlineStr">
        <is>
          <t>无专属条款</t>
        </is>
      </c>
      <c r="W160" s="2" t="inlineStr">
        <is>
          <t>已核实</t>
        </is>
      </c>
      <c r="X160" s="4" t="inlineStr">
        <is>
          <t>—</t>
        </is>
      </c>
      <c r="Y160" s="7" t="inlineStr">
        <is>
          <t>https://www.esat.kuleuven.be/cosic/events/ct-rsa-2027/</t>
        </is>
      </c>
      <c r="Z160" s="4" t="inlineStr">
        <is>
          <t>与 RSA Conference 同期同地举办；核查:强烈要求现场报告，仅签证等特殊原因例外；通知日为暂定</t>
        </is>
      </c>
    </row>
    <row r="161" ht="32" customHeight="1">
      <c r="A161" s="8" t="n">
        <v>160</v>
      </c>
      <c r="B161" s="9" t="inlineStr">
        <is>
          <t>DFRWS</t>
        </is>
      </c>
      <c r="C161" s="10" t="inlineStr">
        <is>
          <t>Digital Forensic Research Workshop</t>
        </is>
      </c>
      <c r="D161" s="10" t="inlineStr">
        <is>
          <t>数字取证老牌研讨会，聚焦取证方法与工具，社区小而专业</t>
        </is>
      </c>
      <c r="E161" s="8" t="inlineStr">
        <is>
          <t>网络与信息安全</t>
        </is>
      </c>
      <c r="F161" s="14" t="inlineStr">
        <is>
          <t>C</t>
        </is>
      </c>
      <c r="G161" s="11" t="n">
        <v>46298.83263888889</v>
      </c>
      <c r="H161" s="11" t="n">
        <v>46305.83263888889</v>
      </c>
      <c r="I161" s="12" t="inlineStr">
        <is>
          <t>Extended deadlines</t>
        </is>
      </c>
      <c r="J161" s="8" t="inlineStr">
        <is>
          <t>AoE</t>
        </is>
      </c>
      <c r="K161" s="11" t="inlineStr">
        <is>
          <t>—</t>
        </is>
      </c>
      <c r="L161" s="11" t="inlineStr">
        <is>
          <t>2026-12-04</t>
        </is>
      </c>
      <c r="M161" s="8">
        <f>IF(ISNUMBER(H161),IF(H161&gt;'_轮次'!$A$1,"未截止","已截止"),"TBD")</f>
        <v/>
      </c>
      <c r="N161" s="8">
        <f>IF(ISNUMBER(H161),IF(H161&gt;'_轮次'!$A$1,INT(H161-'_轮次'!$A$1),"—"),"—")</f>
        <v/>
      </c>
      <c r="O161" s="12" t="inlineStr">
        <is>
          <t>March 30 - April 2, 2027</t>
        </is>
      </c>
      <c r="P161" s="10" t="inlineStr">
        <is>
          <t>Edinburgh, Scotland</t>
        </is>
      </c>
      <c r="Q161" s="8" t="inlineStr">
        <is>
          <t>线下</t>
        </is>
      </c>
      <c r="R161" s="12" t="inlineStr">
        <is>
          <t>必须到场</t>
        </is>
      </c>
      <c r="S161" s="10" t="inlineStr">
        <is>
          <t>设线上参会，注册待公布</t>
        </is>
      </c>
      <c r="T161" s="8" t="inlineStr">
        <is>
          <t>不限</t>
        </is>
      </c>
      <c r="U161" s="8" t="inlineStr">
        <is>
          <t>—</t>
        </is>
      </c>
      <c r="V161" s="10" t="inlineStr">
        <is>
          <t>硬性｜EasyChair 账号，无额外门槛</t>
        </is>
      </c>
      <c r="W161" s="8" t="inlineStr">
        <is>
          <t>已核实</t>
        </is>
      </c>
      <c r="X161" s="10" t="inlineStr">
        <is>
          <t>—</t>
        </is>
      </c>
      <c r="Y161" s="12" t="inlineStr">
        <is>
          <t>https://dfrws.org/conferences/dfceurope2027/</t>
        </is>
      </c>
      <c r="Z161" s="10" t="inlineStr">
        <is>
          <t>含论文与取证挑战赛两条投稿线；核查:全论文须现场报告；摘要10-02、全文10-09</t>
        </is>
      </c>
    </row>
    <row r="162" ht="32" customHeight="1">
      <c r="A162" s="2" t="n">
        <v>161</v>
      </c>
      <c r="B162" s="3" t="inlineStr">
        <is>
          <t>EuroS&amp;P</t>
        </is>
      </c>
      <c r="C162" s="4" t="inlineStr">
        <is>
          <t>IEEE European Symposium on Security and Privacy</t>
        </is>
      </c>
      <c r="D162" s="4" t="inlineStr">
        <is>
          <t>欧洲安全与隐私旗舰会议，安全四小强之一，收稿面广竞争激烈</t>
        </is>
      </c>
      <c r="E162" s="2" t="inlineStr">
        <is>
          <t>网络与信息安全</t>
        </is>
      </c>
      <c r="F162" s="14" t="inlineStr">
        <is>
          <t>C</t>
        </is>
      </c>
      <c r="G162" s="6" t="n">
        <v>46352.83263888889</v>
      </c>
      <c r="H162" s="6" t="n">
        <v>46359.83263888889</v>
      </c>
      <c r="I162" s="7" t="inlineStr">
        <is>
          <t>单轮</t>
        </is>
      </c>
      <c r="J162" s="2" t="inlineStr">
        <is>
          <t>UTC-12</t>
        </is>
      </c>
      <c r="K162" s="6" t="n">
        <v>46448.83263888889</v>
      </c>
      <c r="L162" s="6" t="inlineStr">
        <is>
          <t>2027-03-18</t>
        </is>
      </c>
      <c r="M162" s="2">
        <f>IF(ISNUMBER(H162),IF(H162&gt;'_轮次'!$A$1,"未截止","已截止"),"TBD")</f>
        <v/>
      </c>
      <c r="N162" s="2">
        <f>IF(ISNUMBER(H162),IF(H162&gt;'_轮次'!$A$1,INT(H162-'_轮次'!$A$1),"—"),"—")</f>
        <v/>
      </c>
      <c r="O162" s="7" t="inlineStr">
        <is>
          <t>July 5 - 9, 2027</t>
        </is>
      </c>
      <c r="P162" s="4" t="inlineStr">
        <is>
          <t>Madrid, Spain</t>
        </is>
      </c>
      <c r="Q162" s="2" t="inlineStr">
        <is>
          <t>线下</t>
        </is>
      </c>
      <c r="R162" s="7" t="inlineStr">
        <is>
          <t>必须到场</t>
        </is>
      </c>
      <c r="S162" s="4" t="inlineStr">
        <is>
          <t>提供线上参会通道</t>
        </is>
      </c>
      <c r="T162" s="2" t="n">
        <v>7</v>
      </c>
      <c r="U162" s="2" t="inlineStr">
        <is>
          <t>每届</t>
        </is>
      </c>
      <c r="V162" s="4" t="inlineStr">
        <is>
          <t>无专属条款</t>
        </is>
      </c>
      <c r="W162" s="2" t="inlineStr">
        <is>
          <t>已核实</t>
        </is>
      </c>
      <c r="X162" s="4" t="inlineStr">
        <is>
          <t>—</t>
        </is>
      </c>
      <c r="Y162" s="7" t="inlineStr">
        <is>
          <t>https://eurosp2027.ieee-security.org/</t>
        </is>
      </c>
      <c r="Z162" s="4" t="inlineStr">
        <is>
          <t>IEEE 主办，与 S&amp;P 同系列但独立审稿；核查:官网首屏无CFP，经搜索读到官方CFP要点；摘要注册11-25</t>
        </is>
      </c>
    </row>
    <row r="163" ht="32" customHeight="1">
      <c r="A163" s="8" t="n">
        <v>162</v>
      </c>
      <c r="B163" s="9" t="inlineStr">
        <is>
          <t>FC</t>
        </is>
      </c>
      <c r="C163" s="10" t="inlineStr">
        <is>
          <t>Financial Cryptography and Data Security</t>
        </is>
      </c>
      <c r="D163" s="10" t="inlineStr">
        <is>
          <t>金融密码与数据安全会议，侧重加密货币、支付与链上安全</t>
        </is>
      </c>
      <c r="E163" s="8" t="inlineStr">
        <is>
          <t>网络与信息安全</t>
        </is>
      </c>
      <c r="F163" s="14" t="inlineStr">
        <is>
          <t>C</t>
        </is>
      </c>
      <c r="G163" s="11" t="inlineStr">
        <is>
          <t>—</t>
        </is>
      </c>
      <c r="H163" s="11" t="n">
        <v>46290.83263888889</v>
      </c>
      <c r="I163" s="12" t="inlineStr">
        <is>
          <t>Submission deadline</t>
        </is>
      </c>
      <c r="J163" s="8" t="inlineStr">
        <is>
          <t>UTC-12</t>
        </is>
      </c>
      <c r="K163" s="11" t="inlineStr">
        <is>
          <t>—</t>
        </is>
      </c>
      <c r="L163" s="11" t="inlineStr">
        <is>
          <t>2026-11-12</t>
        </is>
      </c>
      <c r="M163" s="8">
        <f>IF(ISNUMBER(H163),IF(H163&gt;'_轮次'!$A$1,"未截止","已截止"),"TBD")</f>
        <v/>
      </c>
      <c r="N163" s="8">
        <f>IF(ISNUMBER(H163),IF(H163&gt;'_轮次'!$A$1,INT(H163-'_轮次'!$A$1),"—"),"—")</f>
        <v/>
      </c>
      <c r="O163" s="12" t="inlineStr">
        <is>
          <t>February 8-12, 2027</t>
        </is>
      </c>
      <c r="P163" s="10" t="inlineStr">
        <is>
          <t>Barbados</t>
        </is>
      </c>
      <c r="Q163" s="8" t="inlineStr">
        <is>
          <t>线下</t>
        </is>
      </c>
      <c r="R163" s="12" t="inlineStr">
        <is>
          <t>必须到场</t>
        </is>
      </c>
      <c r="S163" s="10" t="inlineStr">
        <is>
          <t>待确认</t>
        </is>
      </c>
      <c r="T163" s="8" t="inlineStr">
        <is>
          <t>不限</t>
        </is>
      </c>
      <c r="U163" s="8" t="inlineStr">
        <is>
          <t>—</t>
        </is>
      </c>
      <c r="V163" s="10" t="inlineStr">
        <is>
          <t>无专属条款</t>
        </is>
      </c>
      <c r="W163" s="8" t="inlineStr">
        <is>
          <t>已核实</t>
        </is>
      </c>
      <c r="X163" s="10" t="inlineStr">
        <is>
          <t>—</t>
        </is>
      </c>
      <c r="Y163" s="12" t="inlineStr">
        <is>
          <t>https://fc27.ifca.ai/</t>
        </is>
      </c>
      <c r="Z163" s="10" t="inlineStr">
        <is>
          <t>加密货币与区块链金融研究重要发表地；核查:只要求每篇至少1人注册，未明说现场报告</t>
        </is>
      </c>
    </row>
    <row r="164" ht="32" customHeight="1">
      <c r="A164" s="2" t="n">
        <v>163</v>
      </c>
      <c r="B164" s="3" t="inlineStr">
        <is>
          <t>ICDF2C</t>
        </is>
      </c>
      <c r="C164" s="4" t="inlineStr">
        <is>
          <t>International Conference on Digital Forensics &amp; Cyber Crime</t>
        </is>
      </c>
      <c r="D164" s="4" t="inlineStr">
        <is>
          <t>数字取证与网络犯罪会议，偏取证实务与执法场景，规模较小</t>
        </is>
      </c>
      <c r="E164" s="2" t="inlineStr">
        <is>
          <t>网络与信息安全</t>
        </is>
      </c>
      <c r="F164" s="14" t="inlineStr">
        <is>
          <t>C</t>
        </is>
      </c>
      <c r="G164" s="6" t="inlineStr">
        <is>
          <t>—</t>
        </is>
      </c>
      <c r="H164" s="6" t="n">
        <v>46372.83263888889</v>
      </c>
      <c r="I164" s="7" t="inlineStr">
        <is>
          <t>Full Paper Submission deadline</t>
        </is>
      </c>
      <c r="J164" s="2" t="inlineStr">
        <is>
          <t>UTC-12</t>
        </is>
      </c>
      <c r="K164" s="6" t="inlineStr">
        <is>
          <t>—</t>
        </is>
      </c>
      <c r="L164" s="6" t="inlineStr">
        <is>
          <t>2027-02-18</t>
        </is>
      </c>
      <c r="M164" s="2">
        <f>IF(ISNUMBER(H164),IF(H164&gt;'_轮次'!$A$1,"未截止","已截止"),"TBD")</f>
        <v/>
      </c>
      <c r="N164" s="2">
        <f>IF(ISNUMBER(H164),IF(H164&gt;'_轮次'!$A$1,INT(H164-'_轮次'!$A$1),"—"),"—")</f>
        <v/>
      </c>
      <c r="O164" s="7" t="inlineStr">
        <is>
          <t>June 25-27, 2027</t>
        </is>
      </c>
      <c r="P164" s="4" t="inlineStr">
        <is>
          <t>New York, USA</t>
        </is>
      </c>
      <c r="Q164" s="2" t="inlineStr">
        <is>
          <t>线下</t>
        </is>
      </c>
      <c r="R164" s="7" t="inlineStr">
        <is>
          <t>待确认</t>
        </is>
      </c>
      <c r="S164" s="4" t="inlineStr">
        <is>
          <t>提供混合线上参会</t>
        </is>
      </c>
      <c r="T164" s="2" t="inlineStr">
        <is>
          <t>不限</t>
        </is>
      </c>
      <c r="U164" s="2" t="inlineStr">
        <is>
          <t>—</t>
        </is>
      </c>
      <c r="V164" s="4" t="inlineStr">
        <is>
          <t>无专属条款</t>
        </is>
      </c>
      <c r="W164" s="2" t="inlineStr">
        <is>
          <t>已核实</t>
        </is>
      </c>
      <c r="X164" s="4" t="inlineStr">
        <is>
          <t>是否到场</t>
        </is>
      </c>
      <c r="Y164" s="7" t="inlineStr">
        <is>
          <t>https://icdf2c.eai-conferences.org/2027/</t>
        </is>
      </c>
      <c r="Z164" s="4" t="inlineStr">
        <is>
          <t>Springer 出版，偏应用与案例；核查:现场/线上要求未明文，仅页面提及hybrid</t>
        </is>
      </c>
    </row>
    <row r="165" ht="32" customHeight="1">
      <c r="A165" s="8" t="n">
        <v>164</v>
      </c>
      <c r="B165" s="9" t="inlineStr">
        <is>
          <t>IFIP WG 11.9</t>
        </is>
      </c>
      <c r="C165" s="10" t="inlineStr">
        <is>
          <t>IFIP WG 11.9 International Conference on Digital Forensics</t>
        </is>
      </c>
      <c r="D165" s="10" t="inlineStr">
        <is>
          <t>IFIP 数字取证工作组年会，小规模深度交流，偏方法论与案例</t>
        </is>
      </c>
      <c r="E165" s="8" t="inlineStr">
        <is>
          <t>网络与信息安全</t>
        </is>
      </c>
      <c r="F165" s="14" t="inlineStr">
        <is>
          <t>C</t>
        </is>
      </c>
      <c r="G165" s="11" t="inlineStr">
        <is>
          <t>—</t>
        </is>
      </c>
      <c r="H165" s="11" t="n">
        <v>46306.83263888889</v>
      </c>
      <c r="I165" s="12" t="inlineStr">
        <is>
          <t>Submission Deadline</t>
        </is>
      </c>
      <c r="J165" s="8" t="inlineStr">
        <is>
          <t>AoE</t>
        </is>
      </c>
      <c r="K165" s="11" t="inlineStr">
        <is>
          <t>—</t>
        </is>
      </c>
      <c r="L165" s="11" t="inlineStr">
        <is>
          <t>2026-11-15</t>
        </is>
      </c>
      <c r="M165" s="8">
        <f>IF(ISNUMBER(H165),IF(H165&gt;'_轮次'!$A$1,"未截止","已截止"),"TBD")</f>
        <v/>
      </c>
      <c r="N165" s="8">
        <f>IF(ISNUMBER(H165),IF(H165&gt;'_轮次'!$A$1,INT(H165-'_轮次'!$A$1),"—"),"—")</f>
        <v/>
      </c>
      <c r="O165" s="12" t="inlineStr">
        <is>
          <t>January 7 - 8, 2027</t>
        </is>
      </c>
      <c r="P165" s="10" t="inlineStr">
        <is>
          <t>New Delhi, India</t>
        </is>
      </c>
      <c r="Q165" s="8" t="inlineStr">
        <is>
          <t>线下</t>
        </is>
      </c>
      <c r="R165" s="12" t="inlineStr">
        <is>
          <t>待确认</t>
        </is>
      </c>
      <c r="S165" s="10" t="inlineStr">
        <is>
          <t>待确认</t>
        </is>
      </c>
      <c r="T165" s="8" t="inlineStr">
        <is>
          <t>不限</t>
        </is>
      </c>
      <c r="U165" s="8" t="inlineStr">
        <is>
          <t>—</t>
        </is>
      </c>
      <c r="V165" s="10" t="inlineStr">
        <is>
          <t>利好｜通道 最佳学生论文奖</t>
        </is>
      </c>
      <c r="W165" s="8" t="inlineStr">
        <is>
          <t>已核实</t>
        </is>
      </c>
      <c r="X165" s="10" t="inlineStr">
        <is>
          <t>是否到场</t>
        </is>
      </c>
      <c r="Y165" s="12" t="inlineStr">
        <is>
          <t>https://www.ifip119.org/Conferences/</t>
        </is>
      </c>
      <c r="Z165" s="10" t="inlineStr">
        <is>
          <t>小组会形式，讨论充分；核查:CFP为PDF；会议限约100人，现场要求未写明</t>
        </is>
      </c>
    </row>
    <row r="166" ht="32" customHeight="1">
      <c r="A166" s="2" t="n">
        <v>165</v>
      </c>
      <c r="B166" s="3" t="inlineStr">
        <is>
          <t>PETS</t>
        </is>
      </c>
      <c r="C166" s="4" t="inlineStr">
        <is>
          <t>Privacy Enhancing Technologies Symposium</t>
        </is>
      </c>
      <c r="D166" s="4" t="inlineStr">
        <is>
          <t>隐私增强技术专会，差分隐私与匿名通信核心场，论文分多轮投</t>
        </is>
      </c>
      <c r="E166" s="2" t="inlineStr">
        <is>
          <t>网络与信息安全</t>
        </is>
      </c>
      <c r="F166" s="14" t="inlineStr">
        <is>
          <t>C</t>
        </is>
      </c>
      <c r="G166" s="6">
        <f>IF(ISNUMBER(H166),IF(N(INDEX('_轮次'!$N$166:$Y$166,MATCH(H166,'_轮次'!$B$166:$M$166,0)))=0,"—",INDEX('_轮次'!$N$166:$Y$166,MATCH(H166,'_轮次'!$B$166:$M$166,0))),"—")</f>
        <v/>
      </c>
      <c r="H166" s="6">
        <f>IF(COUNT('_轮次'!$B$166:$M$166)=0,"待公布",IF(COUNTIF('_轮次'!$B$166:$M$166,"&gt;"&amp;'_轮次'!$A$1)&gt;0,SMALL('_轮次'!$B$166:$M$166,COUNTIF('_轮次'!$B$166:$M$166,"&lt;="&amp;'_轮次'!$A$1)+1),MAX('_轮次'!$B$166:$M$166)))</f>
        <v/>
      </c>
      <c r="I166" s="7">
        <f>IF(ISNUMBER(H166),INDEX('_轮次'!$AX$166:$BI$166,MATCH(H166,'_轮次'!$B$166:$M$166,0)),"—")</f>
        <v/>
      </c>
      <c r="J166" s="2" t="inlineStr">
        <is>
          <t>AoE</t>
        </is>
      </c>
      <c r="K166" s="6">
        <f>IF(ISNUMBER(H166),IF(N(INDEX('_轮次'!$Z$166:$AK$166,MATCH(H166,'_轮次'!$B$166:$M$166,0)))=0,"—",INDEX('_轮次'!$Z$166:$AK$166,MATCH(H166,'_轮次'!$B$166:$M$166,0))),"—")</f>
        <v/>
      </c>
      <c r="L166" s="6">
        <f>IF(ISNUMBER(H166),IF(N(INDEX('_轮次'!$AL$166:$AW$166,MATCH(H166,'_轮次'!$B$166:$M$166,0)))=0,"—",INDEX('_轮次'!$AL$166:$AW$166,MATCH(H166,'_轮次'!$B$166:$M$166,0))),"—")</f>
        <v/>
      </c>
      <c r="M166" s="2">
        <f>IF(ISNUMBER(H166),IF(H166&gt;'_轮次'!$A$1,"未截止","已截止"),"TBD")</f>
        <v/>
      </c>
      <c r="N166" s="2">
        <f>IF(ISNUMBER(H166),IF(H166&gt;'_轮次'!$A$1,INT(H166-'_轮次'!$A$1),"—"),"—")</f>
        <v/>
      </c>
      <c r="O166" s="7" t="inlineStr">
        <is>
          <t>July 19-24, 2027</t>
        </is>
      </c>
      <c r="P166" s="4" t="inlineStr">
        <is>
          <t>Delft, The Netherlands</t>
        </is>
      </c>
      <c r="Q166" s="2" t="inlineStr">
        <is>
          <t>线下</t>
        </is>
      </c>
      <c r="R166" s="7" t="inlineStr">
        <is>
          <t>允许远程</t>
        </is>
      </c>
      <c r="S166" s="4" t="inlineStr">
        <is>
          <t>设虚拟会场，报告录像供线上</t>
        </is>
      </c>
      <c r="T166" s="2" t="inlineStr">
        <is>
          <t>不限</t>
        </is>
      </c>
      <c r="U166" s="2" t="inlineStr">
        <is>
          <t>—</t>
        </is>
      </c>
      <c r="V166" s="4" t="inlineStr">
        <is>
          <t>硬性｜配额 4 篇/期（2027 第 3 期起，超限全部拒）</t>
        </is>
      </c>
      <c r="W166" s="2" t="inlineStr">
        <is>
          <t>已核实</t>
        </is>
      </c>
      <c r="X166" s="4" t="inlineStr">
        <is>
          <t>—</t>
        </is>
      </c>
      <c r="Y166" s="7" t="inlineStr">
        <is>
          <t>https://petsymposium.org/cfp27.php</t>
        </is>
      </c>
      <c r="Z166" s="4" t="inlineStr">
        <is>
          <t>PoPETs 期刊式出版，全年滚动投稿；核查:PoPETs每年4期滚动征稿，此为最近一期Issue 3；全部轮次 Issue 1 Paper Submission Deadline:2026-06-01 / Issue 2 Paper Submission Deadline:2026-09-01 / Issue 3 Paper Submission Deadline:2026-12-01 / Issue 4 Paper Submission Deadline:2027-03-01</t>
        </is>
      </c>
    </row>
    <row r="167" ht="32" customHeight="1">
      <c r="A167" s="8" t="n">
        <v>166</v>
      </c>
      <c r="B167" s="9" t="inlineStr">
        <is>
          <t>SACMAT</t>
        </is>
      </c>
      <c r="C167" s="10" t="inlineStr">
        <is>
          <t>ACM Symposium on Access Control Models and Technologies</t>
        </is>
      </c>
      <c r="D167" s="10" t="inlineStr">
        <is>
          <t>访问控制模型与技术专会，AC 领域最对口，偏形式化与策略管理</t>
        </is>
      </c>
      <c r="E167" s="8" t="inlineStr">
        <is>
          <t>网络与信息安全</t>
        </is>
      </c>
      <c r="F167" s="14" t="inlineStr">
        <is>
          <t>C</t>
        </is>
      </c>
      <c r="G167" s="11">
        <f>IF(ISNUMBER(H167),IF(N(INDEX('_轮次'!$N$167:$Y$167,MATCH(H167,'_轮次'!$B$167:$M$167,0)))=0,"—",INDEX('_轮次'!$N$167:$Y$167,MATCH(H167,'_轮次'!$B$167:$M$167,0))),"—")</f>
        <v/>
      </c>
      <c r="H167" s="11">
        <f>IF(COUNT('_轮次'!$B$167:$M$167)=0,"待公布",IF(COUNTIF('_轮次'!$B$167:$M$167,"&gt;"&amp;'_轮次'!$A$1)&gt;0,SMALL('_轮次'!$B$167:$M$167,COUNTIF('_轮次'!$B$167:$M$167,"&lt;="&amp;'_轮次'!$A$1)+1),MAX('_轮次'!$B$167:$M$167)))</f>
        <v/>
      </c>
      <c r="I167" s="12">
        <f>IF(ISNUMBER(H167),INDEX('_轮次'!$AX$167:$BI$167,MATCH(H167,'_轮次'!$B$167:$M$167,0)),"—")</f>
        <v/>
      </c>
      <c r="J167" s="8" t="inlineStr">
        <is>
          <t>AoE</t>
        </is>
      </c>
      <c r="K167" s="11">
        <f>IF(ISNUMBER(H167),IF(N(INDEX('_轮次'!$Z$167:$AK$167,MATCH(H167,'_轮次'!$B$167:$M$167,0)))=0,"—",INDEX('_轮次'!$Z$167:$AK$167,MATCH(H167,'_轮次'!$B$167:$M$167,0))),"—")</f>
        <v/>
      </c>
      <c r="L167" s="11">
        <f>IF(ISNUMBER(H167),IF(N(INDEX('_轮次'!$AL$167:$AW$167,MATCH(H167,'_轮次'!$B$167:$M$167,0)))=0,"—",INDEX('_轮次'!$AL$167:$AW$167,MATCH(H167,'_轮次'!$B$167:$M$167,0))),"—")</f>
        <v/>
      </c>
      <c r="M167" s="8">
        <f>IF(ISNUMBER(H167),IF(H167&gt;'_轮次'!$A$1,"未截止","已截止"),"TBD")</f>
        <v/>
      </c>
      <c r="N167" s="8">
        <f>IF(ISNUMBER(H167),IF(H167&gt;'_轮次'!$A$1,INT(H167-'_轮次'!$A$1),"—"),"—")</f>
        <v/>
      </c>
      <c r="O167" s="12" t="inlineStr">
        <is>
          <t>July 19-21, 2027</t>
        </is>
      </c>
      <c r="P167" s="10" t="inlineStr">
        <is>
          <t>Durham, England, United Kingdom</t>
        </is>
      </c>
      <c r="Q167" s="8" t="inlineStr">
        <is>
          <t>线下</t>
        </is>
      </c>
      <c r="R167" s="12" t="inlineStr">
        <is>
          <t>必须到场</t>
        </is>
      </c>
      <c r="S167" s="10" t="inlineStr">
        <is>
          <t>待确认</t>
        </is>
      </c>
      <c r="T167" s="8" t="inlineStr">
        <is>
          <t>不限</t>
        </is>
      </c>
      <c r="U167" s="8" t="inlineStr">
        <is>
          <t>—</t>
        </is>
      </c>
      <c r="V167" s="10" t="inlineStr">
        <is>
          <t>CFP未发布</t>
        </is>
      </c>
      <c r="W167" s="8" t="inlineStr">
        <is>
          <t>2027CFP未发布</t>
        </is>
      </c>
      <c r="X167" s="10" t="inlineStr">
        <is>
          <t>新人条款</t>
        </is>
      </c>
      <c r="Y167" s="12" t="inlineStr">
        <is>
          <t>https://www.sacmat.org/2027/</t>
        </is>
      </c>
      <c r="Z167" s="10" t="inlineStr">
        <is>
          <t>ACM SIGSAC 主办，访问控制方向最专；核查:官网仅有会期2027-07-19至21及地点，无征稿细则；全部轮次 First Cycle:2026-10-31 / Second Cycle:2027-02-13</t>
        </is>
      </c>
    </row>
    <row r="168" ht="32" customHeight="1">
      <c r="A168" s="2" t="n">
        <v>167</v>
      </c>
      <c r="B168" s="3" t="inlineStr">
        <is>
          <t>SEC</t>
        </is>
      </c>
      <c r="C168" s="4" t="inlineStr">
        <is>
          <t>IFIP International Information Security Conference</t>
        </is>
      </c>
      <c r="D168" s="4" t="inlineStr">
        <is>
          <t>IFIP 信息安全年会，密码与应用安全兼顾，欧洲学术圈为主</t>
        </is>
      </c>
      <c r="E168" s="2" t="inlineStr">
        <is>
          <t>网络与信息安全</t>
        </is>
      </c>
      <c r="F168" s="14" t="inlineStr">
        <is>
          <t>C</t>
        </is>
      </c>
      <c r="G168" s="6" t="inlineStr">
        <is>
          <t>—</t>
        </is>
      </c>
      <c r="H168" s="6" t="inlineStr">
        <is>
          <t>待公布</t>
        </is>
      </c>
      <c r="I168" s="7" t="inlineStr">
        <is>
          <t>—</t>
        </is>
      </c>
      <c r="J168" s="2" t="inlineStr">
        <is>
          <t>AoE</t>
        </is>
      </c>
      <c r="K168" s="6" t="inlineStr">
        <is>
          <t>—</t>
        </is>
      </c>
      <c r="L168" s="6" t="inlineStr">
        <is>
          <t>待公布</t>
        </is>
      </c>
      <c r="M168" s="2">
        <f>IF(ISNUMBER(H168),IF(H168&gt;'_轮次'!$A$1,"未截止","已截止"),"TBD")</f>
        <v/>
      </c>
      <c r="N168" s="2">
        <f>IF(ISNUMBER(H168),IF(H168&gt;'_轮次'!$A$1,INT(H168-'_轮次'!$A$1),"—"),"—")</f>
        <v/>
      </c>
      <c r="O168" s="7" t="inlineStr">
        <is>
          <t>TBD</t>
        </is>
      </c>
      <c r="P168" s="4" t="inlineStr">
        <is>
          <t>Linköping, Sweden</t>
        </is>
      </c>
      <c r="Q168" s="2" t="inlineStr">
        <is>
          <t>线下</t>
        </is>
      </c>
      <c r="R168" s="7" t="inlineStr">
        <is>
          <t>待确认</t>
        </is>
      </c>
      <c r="S168" s="4" t="inlineStr">
        <is>
          <t>待确认</t>
        </is>
      </c>
      <c r="T168" s="2" t="inlineStr">
        <is>
          <t>不限</t>
        </is>
      </c>
      <c r="U168" s="2" t="inlineStr">
        <is>
          <t>—</t>
        </is>
      </c>
      <c r="V168" s="4" t="inlineStr">
        <is>
          <t>CFP未发布</t>
        </is>
      </c>
      <c r="W168" s="2" t="inlineStr">
        <is>
          <t>2027CFP未发布</t>
        </is>
      </c>
      <c r="X168" s="4" t="inlineStr">
        <is>
          <t>截稿日、是否到场、新人条款</t>
        </is>
      </c>
      <c r="Y168" s="7" t="inlineStr">
        <is>
          <t>https://ifipsec.org/</t>
        </is>
      </c>
      <c r="Z168" s="4" t="inlineStr">
        <is>
          <t>Springer 出版，历史悠久；核查:官网写明Full details available soon，无截稿日</t>
        </is>
      </c>
    </row>
    <row r="169" ht="32" customHeight="1">
      <c r="A169" s="8" t="n">
        <v>168</v>
      </c>
      <c r="B169" s="9" t="inlineStr">
        <is>
          <t>SOUPS</t>
        </is>
      </c>
      <c r="C169" s="10" t="inlineStr">
        <is>
          <t>Symposium On Usable Privacy and Security</t>
        </is>
      </c>
      <c r="D169" s="10" t="inlineStr">
        <is>
          <t>可用安全与隐私专会，人机交互视角的安全研究，需做用户实验</t>
        </is>
      </c>
      <c r="E169" s="8" t="inlineStr">
        <is>
          <t>网络与信息安全</t>
        </is>
      </c>
      <c r="F169" s="14" t="inlineStr">
        <is>
          <t>C</t>
        </is>
      </c>
      <c r="G169" s="11" t="inlineStr">
        <is>
          <t>—</t>
        </is>
      </c>
      <c r="H169" s="11" t="inlineStr">
        <is>
          <t>待公布</t>
        </is>
      </c>
      <c r="I169" s="12" t="inlineStr">
        <is>
          <t>—</t>
        </is>
      </c>
      <c r="J169" s="8" t="inlineStr">
        <is>
          <t>AoE</t>
        </is>
      </c>
      <c r="K169" s="11" t="inlineStr">
        <is>
          <t>—</t>
        </is>
      </c>
      <c r="L169" s="11" t="inlineStr">
        <is>
          <t>待公布</t>
        </is>
      </c>
      <c r="M169" s="8">
        <f>IF(ISNUMBER(H169),IF(H169&gt;'_轮次'!$A$1,"未截止","已截止"),"TBD")</f>
        <v/>
      </c>
      <c r="N169" s="8">
        <f>IF(ISNUMBER(H169),IF(H169&gt;'_轮次'!$A$1,INT(H169-'_轮次'!$A$1),"—"),"—")</f>
        <v/>
      </c>
      <c r="O169" s="12" t="inlineStr">
        <is>
          <t>August 8-10, 2027</t>
        </is>
      </c>
      <c r="P169" s="10" t="inlineStr">
        <is>
          <t>Denver, Colorado, USA</t>
        </is>
      </c>
      <c r="Q169" s="8" t="inlineStr">
        <is>
          <t>线下</t>
        </is>
      </c>
      <c r="R169" s="12" t="inlineStr">
        <is>
          <t>必须到场</t>
        </is>
      </c>
      <c r="S169" s="10" t="inlineStr">
        <is>
          <t>提供线上参会通道</t>
        </is>
      </c>
      <c r="T169" s="8" t="inlineStr">
        <is>
          <t>不限</t>
        </is>
      </c>
      <c r="U169" s="8" t="inlineStr">
        <is>
          <t>—</t>
        </is>
      </c>
      <c r="V169" s="10" t="inlineStr">
        <is>
          <t>CFP未发布</t>
        </is>
      </c>
      <c r="W169" s="8" t="inlineStr">
        <is>
          <t>2027CFP未发布</t>
        </is>
      </c>
      <c r="X169" s="10" t="inlineStr">
        <is>
          <t>截稿日、新人条款</t>
        </is>
      </c>
      <c r="Y169" s="12" t="inlineStr">
        <is>
          <t>https://www.usenix.org/conference/soups2027</t>
        </is>
      </c>
      <c r="Z169" s="10" t="inlineStr">
        <is>
          <t>USENIX 协办，重视用户研究方法；核查:USENIX页面已建但仅标题，CFP未挂出</t>
        </is>
      </c>
    </row>
    <row r="170" ht="32" customHeight="1">
      <c r="A170" s="2" t="n">
        <v>169</v>
      </c>
      <c r="B170" s="3" t="inlineStr">
        <is>
          <t>SecureComm</t>
        </is>
      </c>
      <c r="C170" s="4" t="inlineStr">
        <is>
          <t>International Conference on Security and Privacy in Communication Networks</t>
        </is>
      </c>
      <c r="D170" s="4" t="inlineStr">
        <is>
          <t>安全与隐私通信网络会议，偏网络协议与系统安全，接收率较高</t>
        </is>
      </c>
      <c r="E170" s="2" t="inlineStr">
        <is>
          <t>网络与信息安全</t>
        </is>
      </c>
      <c r="F170" s="14" t="inlineStr">
        <is>
          <t>C</t>
        </is>
      </c>
      <c r="G170" s="6">
        <f>IF(ISNUMBER(H170),IF(N(INDEX('_轮次'!$N$170:$Y$170,MATCH(H170,'_轮次'!$B$170:$M$170,0)))=0,"—",INDEX('_轮次'!$N$170:$Y$170,MATCH(H170,'_轮次'!$B$170:$M$170,0))),"—")</f>
        <v/>
      </c>
      <c r="H170" s="6">
        <f>IF(COUNT('_轮次'!$B$170:$M$170)=0,"待公布",IF(COUNTIF('_轮次'!$B$170:$M$170,"&gt;"&amp;'_轮次'!$A$1)&gt;0,SMALL('_轮次'!$B$170:$M$170,COUNTIF('_轮次'!$B$170:$M$170,"&lt;="&amp;'_轮次'!$A$1)+1),MAX('_轮次'!$B$170:$M$170)))</f>
        <v/>
      </c>
      <c r="I170" s="7">
        <f>IF(ISNUMBER(H170),INDEX('_轮次'!$AX$170:$BI$170,MATCH(H170,'_轮次'!$B$170:$M$170,0)),"—")</f>
        <v/>
      </c>
      <c r="J170" s="2" t="inlineStr">
        <is>
          <t>AoE</t>
        </is>
      </c>
      <c r="K170" s="6">
        <f>IF(ISNUMBER(H170),IF(N(INDEX('_轮次'!$Z$170:$AK$170,MATCH(H170,'_轮次'!$B$170:$M$170,0)))=0,"—",INDEX('_轮次'!$Z$170:$AK$170,MATCH(H170,'_轮次'!$B$170:$M$170,0))),"—")</f>
        <v/>
      </c>
      <c r="L170" s="6">
        <f>IF(ISNUMBER(H170),IF(N(INDEX('_轮次'!$AL$170:$AW$170,MATCH(H170,'_轮次'!$B$170:$M$170,0)))=0,"—",INDEX('_轮次'!$AL$170:$AW$170,MATCH(H170,'_轮次'!$B$170:$M$170,0))),"—")</f>
        <v/>
      </c>
      <c r="M170" s="2">
        <f>IF(ISNUMBER(H170),IF(H170&gt;'_轮次'!$A$1,"未截止","已截止"),"TBD")</f>
        <v/>
      </c>
      <c r="N170" s="2">
        <f>IF(ISNUMBER(H170),IF(H170&gt;'_轮次'!$A$1,INT(H170-'_轮次'!$A$1),"—"),"—")</f>
        <v/>
      </c>
      <c r="O170" s="7" t="inlineStr">
        <is>
          <t>October 15-18, 2027</t>
        </is>
      </c>
      <c r="P170" s="4" t="inlineStr">
        <is>
          <t>Hefei, China</t>
        </is>
      </c>
      <c r="Q170" s="2" t="inlineStr">
        <is>
          <t>线下</t>
        </is>
      </c>
      <c r="R170" s="7" t="inlineStr">
        <is>
          <t>允许远程</t>
        </is>
      </c>
      <c r="S170" s="4" t="inlineStr">
        <is>
          <t>Hybrid混合会议，可线上参会</t>
        </is>
      </c>
      <c r="T170" s="2" t="inlineStr">
        <is>
          <t>不限</t>
        </is>
      </c>
      <c r="U170" s="2" t="inlineStr">
        <is>
          <t>—</t>
        </is>
      </c>
      <c r="V170" s="4" t="inlineStr">
        <is>
          <t>无专属条款</t>
        </is>
      </c>
      <c r="W170" s="2" t="inlineStr">
        <is>
          <t>已核实</t>
        </is>
      </c>
      <c r="X170" s="4" t="inlineStr">
        <is>
          <t>—</t>
        </is>
      </c>
      <c r="Y170" s="7" t="inlineStr">
        <is>
          <t>https://securecomm.eai-conferences.org/2027/</t>
        </is>
      </c>
      <c r="Z170" s="4" t="inlineStr">
        <is>
          <t>Springer 出版，偏通信网络安全；核查:两轮征稿，Cycle1截稿2027-02-01，Cycle2为2027-04-15；全部轮次 Full Paper Submission deadline (Cycle 1):2027-02-02 / Full Paper Submission deadline (Cycle 2):2027-04-16</t>
        </is>
      </c>
    </row>
    <row r="171" ht="32" customHeight="1">
      <c r="A171" s="8" t="n">
        <v>170</v>
      </c>
      <c r="B171" s="9" t="inlineStr">
        <is>
          <t>COMPSAC</t>
        </is>
      </c>
      <c r="C171" s="10" t="inlineStr">
        <is>
          <t>International Computer Software and Applications Conference</t>
        </is>
      </c>
      <c r="D171" s="10" t="inlineStr">
        <is>
          <t>软件与应用会议，覆盖软件工程与系统，设有多个专题 track</t>
        </is>
      </c>
      <c r="E171" s="8" t="inlineStr">
        <is>
          <t>软件工程/系统软件</t>
        </is>
      </c>
      <c r="F171" s="14" t="inlineStr">
        <is>
          <t>C</t>
        </is>
      </c>
      <c r="G171" s="11" t="inlineStr">
        <is>
          <t>—</t>
        </is>
      </c>
      <c r="H171" s="11" t="n">
        <v>46419.83263888889</v>
      </c>
      <c r="I171" s="12" t="inlineStr">
        <is>
          <t>单轮</t>
        </is>
      </c>
      <c r="J171" s="8" t="inlineStr">
        <is>
          <t>AoE</t>
        </is>
      </c>
      <c r="K171" s="11" t="inlineStr">
        <is>
          <t>—</t>
        </is>
      </c>
      <c r="L171" s="11" t="inlineStr">
        <is>
          <t>2027-04-07</t>
        </is>
      </c>
      <c r="M171" s="8">
        <f>IF(ISNUMBER(H171),IF(H171&gt;'_轮次'!$A$1,"未截止","已截止"),"TBD")</f>
        <v/>
      </c>
      <c r="N171" s="8">
        <f>IF(ISNUMBER(H171),IF(H171&gt;'_轮次'!$A$1,INT(H171-'_轮次'!$A$1),"—"),"—")</f>
        <v/>
      </c>
      <c r="O171" s="12" t="inlineStr">
        <is>
          <t>July 13-16, 2027</t>
        </is>
      </c>
      <c r="P171" s="10" t="inlineStr">
        <is>
          <t>Tokyo, Japan</t>
        </is>
      </c>
      <c r="Q171" s="8" t="inlineStr">
        <is>
          <t>线下</t>
        </is>
      </c>
      <c r="R171" s="12" t="inlineStr">
        <is>
          <t>待确认</t>
        </is>
      </c>
      <c r="S171" s="10" t="inlineStr">
        <is>
          <t>待确认</t>
        </is>
      </c>
      <c r="T171" s="8" t="inlineStr">
        <is>
          <t>不限</t>
        </is>
      </c>
      <c r="U171" s="8" t="inlineStr">
        <is>
          <t>—</t>
        </is>
      </c>
      <c r="V171" s="10" t="inlineStr">
        <is>
          <t>利好｜通道 学生论文竞赛 STC, 学生研究论坛 SRS, 早期职业 Mentorium 工作坊</t>
        </is>
      </c>
      <c r="W171" s="8" t="inlineStr">
        <is>
          <t>已核实</t>
        </is>
      </c>
      <c r="X171" s="10" t="inlineStr">
        <is>
          <t>是否到场</t>
        </is>
      </c>
      <c r="Y171" s="12" t="inlineStr">
        <is>
          <t>https://ieeecompsac.computer.org/2027/</t>
        </is>
      </c>
      <c r="Z171" s="10" t="inlineStr">
        <is>
          <t>IEEE 主办，设学生论文与研讨会；核查:官网未明示是否强制现场报告</t>
        </is>
      </c>
    </row>
    <row r="172" ht="32" customHeight="1">
      <c r="A172" s="2" t="n">
        <v>171</v>
      </c>
      <c r="B172" s="3" t="inlineStr">
        <is>
          <t>EASE</t>
        </is>
      </c>
      <c r="C172" s="4" t="inlineStr">
        <is>
          <t>International Conference on Evaluation and Assessment in Software Engineering</t>
        </is>
      </c>
      <c r="D172" s="4" t="inlineStr">
        <is>
          <t>软件工程实证研究与评估，重视工业实践、经验研究与可复现性</t>
        </is>
      </c>
      <c r="E172" s="2" t="inlineStr">
        <is>
          <t>软件工程/系统软件</t>
        </is>
      </c>
      <c r="F172" s="14" t="inlineStr">
        <is>
          <t>C</t>
        </is>
      </c>
      <c r="G172" s="6" t="n">
        <v>46403.83263888889</v>
      </c>
      <c r="H172" s="6" t="n">
        <v>46410.83263888889</v>
      </c>
      <c r="I172" s="7" t="inlineStr">
        <is>
          <t>Research Papers</t>
        </is>
      </c>
      <c r="J172" s="2" t="inlineStr">
        <is>
          <t>AoE</t>
        </is>
      </c>
      <c r="K172" s="6" t="inlineStr">
        <is>
          <t>—</t>
        </is>
      </c>
      <c r="L172" s="6" t="inlineStr">
        <is>
          <t>2027-03-12</t>
        </is>
      </c>
      <c r="M172" s="2">
        <f>IF(ISNUMBER(H172),IF(H172&gt;'_轮次'!$A$1,"未截止","已截止"),"TBD")</f>
        <v/>
      </c>
      <c r="N172" s="2">
        <f>IF(ISNUMBER(H172),IF(H172&gt;'_轮次'!$A$1,INT(H172-'_轮次'!$A$1),"—"),"—")</f>
        <v/>
      </c>
      <c r="O172" s="7" t="inlineStr">
        <is>
          <t>June 15 - 18, 2027</t>
        </is>
      </c>
      <c r="P172" s="4" t="inlineStr">
        <is>
          <t>Hanoi, Vietnam</t>
        </is>
      </c>
      <c r="Q172" s="2" t="inlineStr">
        <is>
          <t>线下</t>
        </is>
      </c>
      <c r="R172" s="7" t="inlineStr">
        <is>
          <t>必须到场</t>
        </is>
      </c>
      <c r="S172" s="4" t="inlineStr">
        <is>
          <t>不设线上通道</t>
        </is>
      </c>
      <c r="T172" s="2" t="inlineStr">
        <is>
          <t>不限</t>
        </is>
      </c>
      <c r="U172" s="2" t="inlineStr">
        <is>
          <t>—</t>
        </is>
      </c>
      <c r="V172" s="4" t="inlineStr">
        <is>
          <t>利好｜通道 Doctoral Symposium</t>
        </is>
      </c>
      <c r="W172" s="2" t="inlineStr">
        <is>
          <t>已核实</t>
        </is>
      </c>
      <c r="X172" s="4" t="inlineStr">
        <is>
          <t>—</t>
        </is>
      </c>
      <c r="Y172" s="7" t="inlineStr">
        <is>
          <t>https://conf.researchr.org/home/ease-2027</t>
        </is>
      </c>
      <c r="Z172" s="4" t="inlineStr">
        <is>
          <t>偏实证与工业案例，纯理论稿件不易中；核查:摘要2027-01-15截稿；research track页404，参会政策未知</t>
        </is>
      </c>
    </row>
    <row r="173" ht="32" customHeight="1">
      <c r="A173" s="8" t="n">
        <v>172</v>
      </c>
      <c r="B173" s="9" t="inlineStr">
        <is>
          <t>ICST</t>
        </is>
      </c>
      <c r="C173" s="10" t="inlineStr">
        <is>
          <t>IEEE International Conference on Software Testing, Verification and Validation</t>
        </is>
      </c>
      <c r="D173" s="10" t="inlineStr">
        <is>
          <t>软件测试与验证专会，测试生成、变异测试与缺陷定位，重实证</t>
        </is>
      </c>
      <c r="E173" s="8" t="inlineStr">
        <is>
          <t>软件工程/系统软件</t>
        </is>
      </c>
      <c r="F173" s="14" t="inlineStr">
        <is>
          <t>C</t>
        </is>
      </c>
      <c r="G173" s="11" t="inlineStr">
        <is>
          <t>—</t>
        </is>
      </c>
      <c r="H173" s="11" t="n">
        <v>46329.83263888889</v>
      </c>
      <c r="I173" s="12" t="inlineStr">
        <is>
          <t>单轮</t>
        </is>
      </c>
      <c r="J173" s="8" t="inlineStr">
        <is>
          <t>AoE</t>
        </is>
      </c>
      <c r="K173" s="11" t="inlineStr">
        <is>
          <t>—</t>
        </is>
      </c>
      <c r="L173" s="11" t="inlineStr">
        <is>
          <t>2027-02-20</t>
        </is>
      </c>
      <c r="M173" s="8">
        <f>IF(ISNUMBER(H173),IF(H173&gt;'_轮次'!$A$1,"未截止","已截止"),"TBD")</f>
        <v/>
      </c>
      <c r="N173" s="8">
        <f>IF(ISNUMBER(H173),IF(H173&gt;'_轮次'!$A$1,INT(H173-'_轮次'!$A$1),"—"),"—")</f>
        <v/>
      </c>
      <c r="O173" s="12" t="inlineStr">
        <is>
          <t>May 17-21, 2027</t>
        </is>
      </c>
      <c r="P173" s="10" t="inlineStr">
        <is>
          <t>San Sebastian, Spain</t>
        </is>
      </c>
      <c r="Q173" s="8" t="inlineStr">
        <is>
          <t>线下</t>
        </is>
      </c>
      <c r="R173" s="12" t="inlineStr">
        <is>
          <t>必须到场</t>
        </is>
      </c>
      <c r="S173" s="10" t="inlineStr">
        <is>
          <t>不设线上通道</t>
        </is>
      </c>
      <c r="T173" s="8" t="inlineStr">
        <is>
          <t>不限</t>
        </is>
      </c>
      <c r="U173" s="8" t="inlineStr">
        <is>
          <t>—</t>
        </is>
      </c>
      <c r="V173" s="10" t="inlineStr">
        <is>
          <t>硬性｜HotCRP 投稿，无额外门槛</t>
        </is>
      </c>
      <c r="W173" s="8" t="inlineStr">
        <is>
          <t>已核实</t>
        </is>
      </c>
      <c r="X173" s="10" t="inlineStr">
        <is>
          <t>—</t>
        </is>
      </c>
      <c r="Y173" s="12" t="inlineStr">
        <is>
          <t>https://conf.researchr.org/home/icst-2027</t>
        </is>
      </c>
      <c r="Z173" s="10" t="inlineStr">
        <is>
          <t>核查:初筛12-22，重大修改1-31，终审2-20</t>
        </is>
      </c>
    </row>
    <row r="174" ht="32" customHeight="1">
      <c r="A174" s="2" t="n">
        <v>173</v>
      </c>
      <c r="B174" s="3" t="inlineStr">
        <is>
          <t>MSR</t>
        </is>
      </c>
      <c r="C174" s="4" t="inlineStr">
        <is>
          <t>International Conference on Mining Software Repositories</t>
        </is>
      </c>
      <c r="D174" s="4" t="inlineStr">
        <is>
          <t>软件仓库挖掘专会，缺陷预测、开发者行为与生态度量，数据驱动</t>
        </is>
      </c>
      <c r="E174" s="2" t="inlineStr">
        <is>
          <t>软件工程/系统软件</t>
        </is>
      </c>
      <c r="F174" s="14" t="inlineStr">
        <is>
          <t>C</t>
        </is>
      </c>
      <c r="G174" s="6" t="n">
        <v>46316.83263888889</v>
      </c>
      <c r="H174" s="6" t="n">
        <v>46319.83263888889</v>
      </c>
      <c r="I174" s="7" t="inlineStr">
        <is>
          <t>单轮</t>
        </is>
      </c>
      <c r="J174" s="2" t="inlineStr">
        <is>
          <t>AoE</t>
        </is>
      </c>
      <c r="K174" s="6" t="n">
        <v>46365.83263888889</v>
      </c>
      <c r="L174" s="6" t="inlineStr">
        <is>
          <t>2027-01-08</t>
        </is>
      </c>
      <c r="M174" s="2">
        <f>IF(ISNUMBER(H174),IF(H174&gt;'_轮次'!$A$1,"未截止","已截止"),"TBD")</f>
        <v/>
      </c>
      <c r="N174" s="2">
        <f>IF(ISNUMBER(H174),IF(H174&gt;'_轮次'!$A$1,INT(H174-'_轮次'!$A$1),"—"),"—")</f>
        <v/>
      </c>
      <c r="O174" s="7" t="inlineStr">
        <is>
          <t>April 26-27, 2027</t>
        </is>
      </c>
      <c r="P174" s="4" t="inlineStr">
        <is>
          <t>Dublin, Ireland</t>
        </is>
      </c>
      <c r="Q174" s="2" t="inlineStr">
        <is>
          <t>线下</t>
        </is>
      </c>
      <c r="R174" s="7" t="inlineStr">
        <is>
          <t>必须到场</t>
        </is>
      </c>
      <c r="S174" s="4" t="inlineStr">
        <is>
          <t>不设线上通道</t>
        </is>
      </c>
      <c r="T174" s="2" t="inlineStr">
        <is>
          <t>不限</t>
        </is>
      </c>
      <c r="U174" s="2" t="inlineStr">
        <is>
          <t>—</t>
        </is>
      </c>
      <c r="V174" s="4" t="inlineStr">
        <is>
          <t>利好｜通道 Junior PC（初级审稿人导师制）</t>
        </is>
      </c>
      <c r="W174" s="2" t="inlineStr">
        <is>
          <t>已核实</t>
        </is>
      </c>
      <c r="X174" s="4" t="inlineStr">
        <is>
          <t>—</t>
        </is>
      </c>
      <c r="Y174" s="7" t="inlineStr">
        <is>
          <t>https://2027.msrconf.org/</t>
        </is>
      </c>
      <c r="Z174" s="4" t="inlineStr">
        <is>
          <t>设 Shadow PC 供早期研究者参与评审；核查:摘要2026-10-20、论文10-23已过期；早期拒稿12-03</t>
        </is>
      </c>
    </row>
    <row r="175" ht="32" customHeight="1">
      <c r="A175" s="8" t="n">
        <v>174</v>
      </c>
      <c r="B175" s="9" t="inlineStr">
        <is>
          <t>PEPM</t>
        </is>
      </c>
      <c r="C175" s="10" t="inlineStr">
        <is>
          <t>ACM SIGPLAN Workshop on Partial Evaluation and Program Manipulation</t>
        </is>
      </c>
      <c r="D175" s="10" t="inlineStr">
        <is>
          <t>部分求值与程序变换，程序特化、生成与语义优化方向</t>
        </is>
      </c>
      <c r="E175" s="8" t="inlineStr">
        <is>
          <t>软件工程/系统软件</t>
        </is>
      </c>
      <c r="F175" s="14" t="inlineStr">
        <is>
          <t>C</t>
        </is>
      </c>
      <c r="G175" s="11" t="inlineStr">
        <is>
          <t>—</t>
        </is>
      </c>
      <c r="H175" s="11" t="n">
        <v>46319.83263888889</v>
      </c>
      <c r="I175" s="12" t="inlineStr">
        <is>
          <t>单轮</t>
        </is>
      </c>
      <c r="J175" s="8" t="inlineStr">
        <is>
          <t>AoE</t>
        </is>
      </c>
      <c r="K175" s="11" t="inlineStr">
        <is>
          <t>—</t>
        </is>
      </c>
      <c r="L175" s="11" t="inlineStr">
        <is>
          <t>待公布</t>
        </is>
      </c>
      <c r="M175" s="8">
        <f>IF(ISNUMBER(H175),IF(H175&gt;'_轮次'!$A$1,"未截止","已截止"),"TBD")</f>
        <v/>
      </c>
      <c r="N175" s="8">
        <f>IF(ISNUMBER(H175),IF(H175&gt;'_轮次'!$A$1,INT(H175-'_轮次'!$A$1),"—"),"—")</f>
        <v/>
      </c>
      <c r="O175" s="12" t="inlineStr">
        <is>
          <t>January 12, 2027</t>
        </is>
      </c>
      <c r="P175" s="10" t="inlineStr">
        <is>
          <t>Mexico City, Mexico</t>
        </is>
      </c>
      <c r="Q175" s="8" t="inlineStr">
        <is>
          <t>线下</t>
        </is>
      </c>
      <c r="R175" s="12" t="inlineStr">
        <is>
          <t>允许远程</t>
        </is>
      </c>
      <c r="S175" s="10" t="inlineStr">
        <is>
          <t>可线上报告</t>
        </is>
      </c>
      <c r="T175" s="8" t="inlineStr">
        <is>
          <t>不限</t>
        </is>
      </c>
      <c r="U175" s="8" t="inlineStr">
        <is>
          <t>—</t>
        </is>
      </c>
      <c r="V175" s="10" t="inlineStr">
        <is>
          <t>无专属条款</t>
        </is>
      </c>
      <c r="W175" s="8" t="inlineStr">
        <is>
          <t>已核实</t>
        </is>
      </c>
      <c r="X175" s="10" t="inlineStr">
        <is>
          <t>—</t>
        </is>
      </c>
      <c r="Y175" s="12" t="inlineStr">
        <is>
          <t>https://popl27.sigplan.org/home/pepm-2027</t>
        </is>
      </c>
      <c r="Z175" s="10" t="inlineStr">
        <is>
          <t>SIGPLAN workshop，常与 POPL 同期举办；核查:单盲评审；官网未列录用通知日；会期2027-01-12</t>
        </is>
      </c>
    </row>
    <row r="176" ht="32" customHeight="1">
      <c r="A176" s="2" t="n">
        <v>175</v>
      </c>
      <c r="B176" s="3" t="inlineStr">
        <is>
          <t>REFSQ</t>
        </is>
      </c>
      <c r="C176" s="4" t="inlineStr">
        <is>
          <t>Requirements Engineering: Foundation for Software Quality</t>
        </is>
      </c>
      <c r="D176" s="4" t="inlineStr">
        <is>
          <t>需求工程专会，需求获取、建模、验证与质量评估，重工业落地</t>
        </is>
      </c>
      <c r="E176" s="2" t="inlineStr">
        <is>
          <t>软件工程/系统软件</t>
        </is>
      </c>
      <c r="F176" s="14" t="inlineStr">
        <is>
          <t>C</t>
        </is>
      </c>
      <c r="G176" s="6" t="n">
        <v>46332.83263888889</v>
      </c>
      <c r="H176" s="6" t="n">
        <v>46339.83263888889</v>
      </c>
      <c r="I176" s="7" t="inlineStr">
        <is>
          <t>Regular research papers; abstract submission is optional</t>
        </is>
      </c>
      <c r="J176" s="2" t="inlineStr">
        <is>
          <t>AoE</t>
        </is>
      </c>
      <c r="K176" s="6" t="inlineStr">
        <is>
          <t>—</t>
        </is>
      </c>
      <c r="L176" s="6" t="inlineStr">
        <is>
          <t>2027-01-14</t>
        </is>
      </c>
      <c r="M176" s="2">
        <f>IF(ISNUMBER(H176),IF(H176&gt;'_轮次'!$A$1,"未截止","已截止"),"TBD")</f>
        <v/>
      </c>
      <c r="N176" s="2">
        <f>IF(ISNUMBER(H176),IF(H176&gt;'_轮次'!$A$1,INT(H176-'_轮次'!$A$1),"—"),"—")</f>
        <v/>
      </c>
      <c r="O176" s="7" t="inlineStr">
        <is>
          <t>April 12-15, 2027</t>
        </is>
      </c>
      <c r="P176" s="4" t="inlineStr">
        <is>
          <t>Basel, Switzerland</t>
        </is>
      </c>
      <c r="Q176" s="2" t="inlineStr">
        <is>
          <t>线下</t>
        </is>
      </c>
      <c r="R176" s="7" t="inlineStr">
        <is>
          <t>必须到场</t>
        </is>
      </c>
      <c r="S176" s="4" t="inlineStr">
        <is>
          <t>不设线上通道</t>
        </is>
      </c>
      <c r="T176" s="2" t="inlineStr">
        <is>
          <t>不限</t>
        </is>
      </c>
      <c r="U176" s="2" t="inlineStr">
        <is>
          <t>—</t>
        </is>
      </c>
      <c r="V176" s="4" t="inlineStr">
        <is>
          <t>利好｜通道 Doctoral Symposium</t>
        </is>
      </c>
      <c r="W176" s="2" t="inlineStr">
        <is>
          <t>已核实</t>
        </is>
      </c>
      <c r="X176" s="4" t="inlineStr">
        <is>
          <t>—</t>
        </is>
      </c>
      <c r="Y176" s="7" t="inlineStr">
        <is>
          <t>https://2027.refsq.org/</t>
        </is>
      </c>
      <c r="Z176" s="4" t="inlineStr">
        <is>
          <t>LNCS 出版，设工业轨道与海报轨道；核查:摘要2026-11-05；CFP未写参会方式与篇数限制</t>
        </is>
      </c>
    </row>
    <row r="177" ht="32" customHeight="1">
      <c r="A177" s="8" t="n">
        <v>176</v>
      </c>
      <c r="B177" s="9" t="inlineStr">
        <is>
          <t>CPAL</t>
        </is>
      </c>
      <c r="C177" s="10" t="inlineStr">
        <is>
          <t>The Conference on Parsimony and Learning</t>
        </is>
      </c>
      <c r="D177" s="10" t="inlineStr">
        <is>
          <t>简约与稀疏学习新会，低秩表示、高效训练与理论分析</t>
        </is>
      </c>
      <c r="E177" s="8" t="inlineStr">
        <is>
          <t>人工智能</t>
        </is>
      </c>
      <c r="F177" s="15" t="inlineStr">
        <is>
          <t>N</t>
        </is>
      </c>
      <c r="G177" s="11" t="n">
        <v>46350.83263888889</v>
      </c>
      <c r="H177" s="11" t="n">
        <v>46362.83263888889</v>
      </c>
      <c r="I177" s="12" t="inlineStr">
        <is>
          <t>单轮</t>
        </is>
      </c>
      <c r="J177" s="8" t="inlineStr">
        <is>
          <t>AoE</t>
        </is>
      </c>
      <c r="K177" s="11" t="n">
        <v>46405.83263888889</v>
      </c>
      <c r="L177" s="11" t="inlineStr">
        <is>
          <t>2027-02-01</t>
        </is>
      </c>
      <c r="M177" s="8">
        <f>IF(ISNUMBER(H177),IF(H177&gt;'_轮次'!$A$1,"未截止","已截止"),"TBD")</f>
        <v/>
      </c>
      <c r="N177" s="8">
        <f>IF(ISNUMBER(H177),IF(H177&gt;'_轮次'!$A$1,INT(H177-'_轮次'!$A$1),"—"),"—")</f>
        <v/>
      </c>
      <c r="O177" s="12" t="inlineStr">
        <is>
          <t>March 23-26, 2027</t>
        </is>
      </c>
      <c r="P177" s="10" t="inlineStr">
        <is>
          <t>Tokyo, Japan</t>
        </is>
      </c>
      <c r="Q177" s="8" t="inlineStr">
        <is>
          <t>线下</t>
        </is>
      </c>
      <c r="R177" s="12" t="inlineStr">
        <is>
          <t>待确认</t>
        </is>
      </c>
      <c r="S177" s="10" t="inlineStr">
        <is>
          <t>待确认</t>
        </is>
      </c>
      <c r="T177" s="8" t="inlineStr">
        <is>
          <t>不限</t>
        </is>
      </c>
      <c r="U177" s="8" t="inlineStr">
        <is>
          <t>—</t>
        </is>
      </c>
      <c r="V177" s="10" t="inlineStr">
        <is>
          <t>利好｜通道 Rising Stars Award（早期职业，含导师指导）</t>
        </is>
      </c>
      <c r="W177" s="8" t="inlineStr">
        <is>
          <t>已核实</t>
        </is>
      </c>
      <c r="X177" s="10" t="inlineStr">
        <is>
          <t>是否到场</t>
        </is>
      </c>
      <c r="Y177" s="12" t="inlineStr">
        <is>
          <t>https://cpal.cc/</t>
        </is>
      </c>
      <c r="Z177" s="10" t="inlineStr">
        <is>
          <t>新兴会议届次少，规则变动大，须查官网；核查:摘要注册11-13；Recent Spotlight截止2027-01-18</t>
        </is>
      </c>
    </row>
    <row r="178" ht="32" customHeight="1">
      <c r="A178" s="2" t="n">
        <v>177</v>
      </c>
      <c r="B178" s="3" t="inlineStr">
        <is>
          <t>CVC</t>
        </is>
      </c>
      <c r="C178" s="4" t="inlineStr">
        <is>
          <t>Computer Vision Conference</t>
        </is>
      </c>
      <c r="D178" s="4" t="inlineStr">
        <is>
          <t>计算机视觉应用会议，覆盖识别、检测与生成等视觉方向</t>
        </is>
      </c>
      <c r="E178" s="2" t="inlineStr">
        <is>
          <t>人工智能</t>
        </is>
      </c>
      <c r="F178" s="15" t="inlineStr">
        <is>
          <t>N</t>
        </is>
      </c>
      <c r="G178" s="6">
        <f>IF(ISNUMBER(H178),IF(N(INDEX('_轮次'!$N$178:$Y$178,MATCH(H178,'_轮次'!$B$178:$M$178,0)))=0,"—",INDEX('_轮次'!$N$178:$Y$178,MATCH(H178,'_轮次'!$B$178:$M$178,0))),"—")</f>
        <v/>
      </c>
      <c r="H178" s="6">
        <f>IF(COUNT('_轮次'!$B$178:$M$178)=0,"待公布",IF(COUNTIF('_轮次'!$B$178:$M$178,"&gt;"&amp;'_轮次'!$A$1)&gt;0,SMALL('_轮次'!$B$178:$M$178,COUNTIF('_轮次'!$B$178:$M$178,"&lt;="&amp;'_轮次'!$A$1)+1),MAX('_轮次'!$B$178:$M$178)))</f>
        <v/>
      </c>
      <c r="I178" s="7">
        <f>IF(ISNUMBER(H178),INDEX('_轮次'!$AX$178:$BI$178,MATCH(H178,'_轮次'!$B$178:$M$178,0)),"—")</f>
        <v/>
      </c>
      <c r="J178" s="2" t="inlineStr">
        <is>
          <t>AoE</t>
        </is>
      </c>
      <c r="K178" s="6">
        <f>IF(ISNUMBER(H178),IF(N(INDEX('_轮次'!$Z$178:$AK$178,MATCH(H178,'_轮次'!$B$178:$M$178,0)))=0,"—",INDEX('_轮次'!$Z$178:$AK$178,MATCH(H178,'_轮次'!$B$178:$M$178,0))),"—")</f>
        <v/>
      </c>
      <c r="L178" s="6">
        <f>IF(ISNUMBER(H178),IF(N(INDEX('_轮次'!$AL$178:$AW$178,MATCH(H178,'_轮次'!$B$178:$M$178,0)))=0,"—",INDEX('_轮次'!$AL$178:$AW$178,MATCH(H178,'_轮次'!$B$178:$M$178,0))),"—")</f>
        <v/>
      </c>
      <c r="M178" s="2">
        <f>IF(ISNUMBER(H178),IF(H178&gt;'_轮次'!$A$1,"未截止","已截止"),"TBD")</f>
        <v/>
      </c>
      <c r="N178" s="2">
        <f>IF(ISNUMBER(H178),IF(H178&gt;'_轮次'!$A$1,INT(H178-'_轮次'!$A$1),"—"),"—")</f>
        <v/>
      </c>
      <c r="O178" s="7" t="inlineStr">
        <is>
          <t>April 15-16, 2027</t>
        </is>
      </c>
      <c r="P178" s="4" t="inlineStr">
        <is>
          <t>Amsterdam, Netherlands</t>
        </is>
      </c>
      <c r="Q178" s="2" t="inlineStr">
        <is>
          <t>线下</t>
        </is>
      </c>
      <c r="R178" s="7" t="inlineStr">
        <is>
          <t>待确认</t>
        </is>
      </c>
      <c r="S178" s="4" t="inlineStr">
        <is>
          <t>待确认</t>
        </is>
      </c>
      <c r="T178" s="2" t="inlineStr">
        <is>
          <t>不限</t>
        </is>
      </c>
      <c r="U178" s="2" t="inlineStr">
        <is>
          <t>—</t>
        </is>
      </c>
      <c r="V178" s="4" t="inlineStr">
        <is>
          <t>CFP未发布</t>
        </is>
      </c>
      <c r="W178" s="2" t="inlineStr">
        <is>
          <t>2027CFP未发布</t>
        </is>
      </c>
      <c r="X178" s="4" t="inlineStr">
        <is>
          <t>是否到场、新人条款</t>
        </is>
      </c>
      <c r="Y178" s="7" t="inlineStr">
        <is>
          <t>https://saiconference.com/CVC</t>
        </is>
      </c>
      <c r="Z178" s="4" t="inlineStr">
        <is>
          <t>信息有限且同名会议多，投稿前务必核实官网；核查:官网仅公布2027-04-15/16会期，投稿页404；全部轮次 Round 1:2026-09-02 / Round 2:2026-10-02</t>
        </is>
      </c>
    </row>
    <row r="179" ht="32" customHeight="1">
      <c r="A179" s="8" t="n">
        <v>178</v>
      </c>
      <c r="B179" s="9" t="inlineStr">
        <is>
          <t>EACL</t>
        </is>
      </c>
      <c r="C179" s="10" t="inlineStr">
        <is>
          <t>The Annual Conference of the European Chapter of the Association for Computational Linguistics</t>
        </is>
      </c>
      <c r="D179" s="10" t="inlineStr">
        <is>
          <t>ACL 欧洲分会，自然语言处理全方向，规模小于 ACL 主会</t>
        </is>
      </c>
      <c r="E179" s="8" t="inlineStr">
        <is>
          <t>人工智能</t>
        </is>
      </c>
      <c r="F179" s="15" t="inlineStr">
        <is>
          <t>N</t>
        </is>
      </c>
      <c r="G179" s="11">
        <f>IF(ISNUMBER(H179),IF(N(INDEX('_轮次'!$N$179:$Y$179,MATCH(H179,'_轮次'!$B$179:$M$179,0)))=0,"—",INDEX('_轮次'!$N$179:$Y$179,MATCH(H179,'_轮次'!$B$179:$M$179,0))),"—")</f>
        <v/>
      </c>
      <c r="H179" s="11">
        <f>IF(COUNT('_轮次'!$B$179:$M$179)=0,"待公布",IF(COUNTIF('_轮次'!$B$179:$M$179,"&gt;"&amp;'_轮次'!$A$1)&gt;0,SMALL('_轮次'!$B$179:$M$179,COUNTIF('_轮次'!$B$179:$M$179,"&lt;="&amp;'_轮次'!$A$1)+1),MAX('_轮次'!$B$179:$M$179)))</f>
        <v/>
      </c>
      <c r="I179" s="12">
        <f>IF(ISNUMBER(H179),INDEX('_轮次'!$AX$179:$BI$179,MATCH(H179,'_轮次'!$B$179:$M$179,0)),"—")</f>
        <v/>
      </c>
      <c r="J179" s="8" t="inlineStr">
        <is>
          <t>UTC-12</t>
        </is>
      </c>
      <c r="K179" s="11">
        <f>IF(ISNUMBER(H179),IF(N(INDEX('_轮次'!$Z$179:$AK$179,MATCH(H179,'_轮次'!$B$179:$M$179,0)))=0,"—",INDEX('_轮次'!$Z$179:$AK$179,MATCH(H179,'_轮次'!$B$179:$M$179,0))),"—")</f>
        <v/>
      </c>
      <c r="L179" s="11">
        <f>IF(ISNUMBER(H179),IF(N(INDEX('_轮次'!$AL$179:$AW$179,MATCH(H179,'_轮次'!$B$179:$M$179,0)))=0,"—",INDEX('_轮次'!$AL$179:$AW$179,MATCH(H179,'_轮次'!$B$179:$M$179,0))),"—")</f>
        <v/>
      </c>
      <c r="M179" s="8">
        <f>IF(ISNUMBER(H179),IF(H179&gt;'_轮次'!$A$1,"未截止","已截止"),"TBD")</f>
        <v/>
      </c>
      <c r="N179" s="8">
        <f>IF(ISNUMBER(H179),IF(H179&gt;'_轮次'!$A$1,INT(H179-'_轮次'!$A$1),"—"),"—")</f>
        <v/>
      </c>
      <c r="O179" s="12" t="inlineStr">
        <is>
          <t>March 9-14, 2027</t>
        </is>
      </c>
      <c r="P179" s="10" t="inlineStr">
        <is>
          <t>Athens, Greece</t>
        </is>
      </c>
      <c r="Q179" s="8" t="inlineStr">
        <is>
          <t>线下</t>
        </is>
      </c>
      <c r="R179" s="12" t="inlineStr">
        <is>
          <t>允许远程</t>
        </is>
      </c>
      <c r="S179" s="10" t="inlineStr">
        <is>
          <t>线上与线下报告均可选</t>
        </is>
      </c>
      <c r="T179" s="8" t="inlineStr">
        <is>
          <t>不限</t>
        </is>
      </c>
      <c r="U179" s="8" t="inlineStr">
        <is>
          <t>—</t>
        </is>
      </c>
      <c r="V179" s="10" t="inlineStr">
        <is>
          <t>硬性｜全员须注册审稿或任 AC/SAC，逾期可致下轮禁投</t>
        </is>
      </c>
      <c r="W179" s="8" t="inlineStr">
        <is>
          <t>已核实</t>
        </is>
      </c>
      <c r="X179" s="10" t="inlineStr">
        <is>
          <t>—</t>
        </is>
      </c>
      <c r="Y179" s="12" t="inlineStr">
        <is>
          <t>https://2027.eacl.org/</t>
        </is>
      </c>
      <c r="Z179" s="10" t="inlineStr">
        <is>
          <t>走 ACL Rolling Review 统一投稿；核查:截稿为ARR投稿；须至少1位作者早注册；全部轮次 ARR Submission:2026-08-04 / EACL commitment after ARR meta-reviews; reviewed papers only:2026-10-12</t>
        </is>
      </c>
    </row>
    <row r="180" ht="32" customHeight="1">
      <c r="A180" s="2" t="n">
        <v>179</v>
      </c>
      <c r="B180" s="3" t="inlineStr">
        <is>
          <t>ESANN</t>
        </is>
      </c>
      <c r="C180" s="4" t="inlineStr">
        <is>
          <t>European Symposium on Artificial Neural Networks, Computational Intelligence and Machine Learning</t>
        </is>
      </c>
      <c r="D180" s="4" t="inlineStr">
        <is>
          <t>欧洲神经网络老牌会议，机器学习与计算智能，偏应用与短文</t>
        </is>
      </c>
      <c r="E180" s="2" t="inlineStr">
        <is>
          <t>人工智能</t>
        </is>
      </c>
      <c r="F180" s="15" t="inlineStr">
        <is>
          <t>N</t>
        </is>
      </c>
      <c r="G180" s="6" t="inlineStr">
        <is>
          <t>—</t>
        </is>
      </c>
      <c r="H180" s="6" t="n">
        <v>46345.66597222222</v>
      </c>
      <c r="I180" s="7" t="inlineStr">
        <is>
          <t>单轮</t>
        </is>
      </c>
      <c r="J180" s="2" t="inlineStr">
        <is>
          <t>UTC-8</t>
        </is>
      </c>
      <c r="K180" s="6" t="inlineStr">
        <is>
          <t>—</t>
        </is>
      </c>
      <c r="L180" s="6" t="inlineStr">
        <is>
          <t>2027-01-22</t>
        </is>
      </c>
      <c r="M180" s="2">
        <f>IF(ISNUMBER(H180),IF(H180&gt;'_轮次'!$A$1,"未截止","已截止"),"TBD")</f>
        <v/>
      </c>
      <c r="N180" s="2">
        <f>IF(ISNUMBER(H180),IF(H180&gt;'_轮次'!$A$1,INT(H180-'_轮次'!$A$1),"—"),"—")</f>
        <v/>
      </c>
      <c r="O180" s="7" t="inlineStr">
        <is>
          <t>April 21 - 23, 2027</t>
        </is>
      </c>
      <c r="P180" s="4" t="inlineStr">
        <is>
          <t>Bruges, Belgium and Online</t>
        </is>
      </c>
      <c r="Q180" s="2" t="inlineStr">
        <is>
          <t>纯线上</t>
        </is>
      </c>
      <c r="R180" s="7" t="inlineStr">
        <is>
          <t>允许远程</t>
        </is>
      </c>
      <c r="S180" s="4" t="inlineStr">
        <is>
          <t>hybrid，可在线参会报告</t>
        </is>
      </c>
      <c r="T180" s="2" t="inlineStr">
        <is>
          <t>不限</t>
        </is>
      </c>
      <c r="U180" s="2" t="inlineStr">
        <is>
          <t>—</t>
        </is>
      </c>
      <c r="V180" s="4" t="inlineStr">
        <is>
          <t>无专属条款</t>
        </is>
      </c>
      <c r="W180" s="2" t="inlineStr">
        <is>
          <t>已核实</t>
        </is>
      </c>
      <c r="X180" s="4" t="inlineStr">
        <is>
          <t>—</t>
        </is>
      </c>
      <c r="Y180" s="7" t="inlineStr">
        <is>
          <t>https://www.esann.org/</t>
        </is>
      </c>
      <c r="Z180" s="4" t="inlineStr">
        <is>
          <t>会场标注 and Online，实际为线下+线上并行</t>
        </is>
      </c>
    </row>
    <row r="181" ht="32" customHeight="1">
      <c r="A181" s="8" t="n">
        <v>180</v>
      </c>
      <c r="B181" s="9" t="inlineStr">
        <is>
          <t>EuroGP</t>
        </is>
      </c>
      <c r="C181" s="10" t="inlineStr">
        <is>
          <t>European Conference on Genetic Programming</t>
        </is>
      </c>
      <c r="D181" s="10" t="inlineStr">
        <is>
          <t>遗传程序设计专会，进化计算驱动的程序合成与符号回归</t>
        </is>
      </c>
      <c r="E181" s="8" t="inlineStr">
        <is>
          <t>人工智能</t>
        </is>
      </c>
      <c r="F181" s="15" t="inlineStr">
        <is>
          <t>N</t>
        </is>
      </c>
      <c r="G181" s="11" t="inlineStr">
        <is>
          <t>—</t>
        </is>
      </c>
      <c r="H181" s="11" t="n">
        <v>46328.83263888889</v>
      </c>
      <c r="I181" s="12" t="inlineStr">
        <is>
          <t>Full papers</t>
        </is>
      </c>
      <c r="J181" s="8" t="inlineStr">
        <is>
          <t>AoE</t>
        </is>
      </c>
      <c r="K181" s="11" t="inlineStr">
        <is>
          <t>—</t>
        </is>
      </c>
      <c r="L181" s="11" t="n">
        <v>46398.83263888889</v>
      </c>
      <c r="M181" s="8">
        <f>IF(ISNUMBER(H181),IF(H181&gt;'_轮次'!$A$1,"未截止","已截止"),"TBD")</f>
        <v/>
      </c>
      <c r="N181" s="8">
        <f>IF(ISNUMBER(H181),IF(H181&gt;'_轮次'!$A$1,INT(H181-'_轮次'!$A$1),"—"),"—")</f>
        <v/>
      </c>
      <c r="O181" s="12" t="inlineStr">
        <is>
          <t>March 31-April 2, 2027</t>
        </is>
      </c>
      <c r="P181" s="10" t="inlineStr">
        <is>
          <t>Mainz, Germany (hybrid)</t>
        </is>
      </c>
      <c r="Q181" s="8" t="inlineStr">
        <is>
          <t>混合</t>
        </is>
      </c>
      <c r="R181" s="12" t="inlineStr">
        <is>
          <t>必须到场</t>
        </is>
      </c>
      <c r="S181" s="10" t="inlineStr">
        <is>
          <t>hybrid举办，仍须作者到场</t>
        </is>
      </c>
      <c r="T181" s="8" t="inlineStr">
        <is>
          <t>不限</t>
        </is>
      </c>
      <c r="U181" s="8" t="inlineStr">
        <is>
          <t>—</t>
        </is>
      </c>
      <c r="V181" s="10" t="inlineStr">
        <is>
          <t>利好｜通道 Outstanding Student 提名</t>
        </is>
      </c>
      <c r="W181" s="8" t="inlineStr">
        <is>
          <t>已核实</t>
        </is>
      </c>
      <c r="X181" s="10" t="inlineStr">
        <is>
          <t>—</t>
        </is>
      </c>
      <c r="Y181" s="12" t="inlineStr">
        <is>
          <t>https://www.evostar.org/2027/eurogp/</t>
        </is>
      </c>
      <c r="Z181" s="10" t="inlineStr">
        <is>
          <t>EvoStar 联合会议之一，LNCS 出版；核查:官网未公布截稿/通知日期</t>
        </is>
      </c>
    </row>
    <row r="182" ht="32" customHeight="1">
      <c r="A182" s="2" t="n">
        <v>181</v>
      </c>
      <c r="B182" s="3" t="inlineStr">
        <is>
          <t>EvoApplications</t>
        </is>
      </c>
      <c r="C182" s="4" t="inlineStr">
        <is>
          <t>International Conference on the Applications of Evolutionary Computation</t>
        </is>
      </c>
      <c r="D182" s="4" t="inlineStr">
        <is>
          <t>进化计算应用会议，优化调度、工程设计等跨领域应用</t>
        </is>
      </c>
      <c r="E182" s="2" t="inlineStr">
        <is>
          <t>人工智能</t>
        </is>
      </c>
      <c r="F182" s="15" t="inlineStr">
        <is>
          <t>N</t>
        </is>
      </c>
      <c r="G182" s="6" t="inlineStr">
        <is>
          <t>—</t>
        </is>
      </c>
      <c r="H182" s="6" t="n">
        <v>46328.83263888889</v>
      </c>
      <c r="I182" s="7" t="inlineStr">
        <is>
          <t>Full papers</t>
        </is>
      </c>
      <c r="J182" s="2" t="inlineStr">
        <is>
          <t>AoE</t>
        </is>
      </c>
      <c r="K182" s="6" t="inlineStr">
        <is>
          <t>—</t>
        </is>
      </c>
      <c r="L182" s="6" t="n">
        <v>46398.83263888889</v>
      </c>
      <c r="M182" s="2">
        <f>IF(ISNUMBER(H182),IF(H182&gt;'_轮次'!$A$1,"未截止","已截止"),"TBD")</f>
        <v/>
      </c>
      <c r="N182" s="2">
        <f>IF(ISNUMBER(H182),IF(H182&gt;'_轮次'!$A$1,INT(H182-'_轮次'!$A$1),"—"),"—")</f>
        <v/>
      </c>
      <c r="O182" s="7" t="inlineStr">
        <is>
          <t>March 31-April 2, 2027</t>
        </is>
      </c>
      <c r="P182" s="4" t="inlineStr">
        <is>
          <t>Mainz, Germany (hybrid)</t>
        </is>
      </c>
      <c r="Q182" s="2" t="inlineStr">
        <is>
          <t>混合</t>
        </is>
      </c>
      <c r="R182" s="7" t="inlineStr">
        <is>
          <t>必须到场</t>
        </is>
      </c>
      <c r="S182" s="4" t="inlineStr">
        <is>
          <t>hybrid举办，仍须作者到场</t>
        </is>
      </c>
      <c r="T182" s="2" t="inlineStr">
        <is>
          <t>不限</t>
        </is>
      </c>
      <c r="U182" s="2" t="inlineStr">
        <is>
          <t>—</t>
        </is>
      </c>
      <c r="V182" s="4" t="inlineStr">
        <is>
          <t>利好｜通道 Outstanding Student 提名</t>
        </is>
      </c>
      <c r="W182" s="2" t="inlineStr">
        <is>
          <t>已核实</t>
        </is>
      </c>
      <c r="X182" s="4" t="inlineStr">
        <is>
          <t>—</t>
        </is>
      </c>
      <c r="Y182" s="7" t="inlineStr">
        <is>
          <t>https://www.evostar.org/2027/evoapps/</t>
        </is>
      </c>
      <c r="Z182" s="4" t="inlineStr">
        <is>
          <t>EvoStar 联合会议之一，按应用领域分会；核查:官网未公布截稿/通知日期</t>
        </is>
      </c>
    </row>
    <row r="183" ht="32" customHeight="1">
      <c r="A183" s="8" t="n">
        <v>182</v>
      </c>
      <c r="B183" s="9" t="inlineStr">
        <is>
          <t>EvoCOP</t>
        </is>
      </c>
      <c r="C183" s="10" t="inlineStr">
        <is>
          <t>European Conference on Evolutionary Computation in Combinatorial Optimisation</t>
        </is>
      </c>
      <c r="D183" s="10" t="inlineStr">
        <is>
          <t>进化计算求解组合优化，排程、路径与资源分配问题</t>
        </is>
      </c>
      <c r="E183" s="8" t="inlineStr">
        <is>
          <t>人工智能</t>
        </is>
      </c>
      <c r="F183" s="15" t="inlineStr">
        <is>
          <t>N</t>
        </is>
      </c>
      <c r="G183" s="11" t="inlineStr">
        <is>
          <t>—</t>
        </is>
      </c>
      <c r="H183" s="11" t="n">
        <v>46328.83263888889</v>
      </c>
      <c r="I183" s="12" t="inlineStr">
        <is>
          <t>Full papers</t>
        </is>
      </c>
      <c r="J183" s="8" t="inlineStr">
        <is>
          <t>AoE</t>
        </is>
      </c>
      <c r="K183" s="11" t="inlineStr">
        <is>
          <t>—</t>
        </is>
      </c>
      <c r="L183" s="11" t="n">
        <v>46398.83263888889</v>
      </c>
      <c r="M183" s="8">
        <f>IF(ISNUMBER(H183),IF(H183&gt;'_轮次'!$A$1,"未截止","已截止"),"TBD")</f>
        <v/>
      </c>
      <c r="N183" s="8">
        <f>IF(ISNUMBER(H183),IF(H183&gt;'_轮次'!$A$1,INT(H183-'_轮次'!$A$1),"—"),"—")</f>
        <v/>
      </c>
      <c r="O183" s="12" t="inlineStr">
        <is>
          <t>March 31-April 2, 2027</t>
        </is>
      </c>
      <c r="P183" s="10" t="inlineStr">
        <is>
          <t>Mainz, Germany (hybrid)</t>
        </is>
      </c>
      <c r="Q183" s="8" t="inlineStr">
        <is>
          <t>混合</t>
        </is>
      </c>
      <c r="R183" s="12" t="inlineStr">
        <is>
          <t>必须到场</t>
        </is>
      </c>
      <c r="S183" s="10" t="inlineStr">
        <is>
          <t>hybrid举办，仍须作者到场</t>
        </is>
      </c>
      <c r="T183" s="8" t="inlineStr">
        <is>
          <t>不限</t>
        </is>
      </c>
      <c r="U183" s="8" t="inlineStr">
        <is>
          <t>—</t>
        </is>
      </c>
      <c r="V183" s="10" t="inlineStr">
        <is>
          <t>利好｜通道 Outstanding Student 提名</t>
        </is>
      </c>
      <c r="W183" s="8" t="inlineStr">
        <is>
          <t>已核实</t>
        </is>
      </c>
      <c r="X183" s="10" t="inlineStr">
        <is>
          <t>—</t>
        </is>
      </c>
      <c r="Y183" s="12" t="inlineStr">
        <is>
          <t>https://www.evostar.org/2027/evocop/</t>
        </is>
      </c>
      <c r="Z183" s="10" t="inlineStr">
        <is>
          <t>EvoStar 联合会议之一，偏算法与基准对比；核查:官网未公布截稿/通知日期</t>
        </is>
      </c>
    </row>
    <row r="184" ht="32" customHeight="1">
      <c r="A184" s="2" t="n">
        <v>183</v>
      </c>
      <c r="B184" s="3" t="inlineStr">
        <is>
          <t>EvoMUSART</t>
        </is>
      </c>
      <c r="C184" s="4" t="inlineStr">
        <is>
          <t>International Conference on Artificial Intelligence in Music, Sound, Art and Design</t>
        </is>
      </c>
      <c r="D184" s="4" t="inlineStr">
        <is>
          <t>AI 音乐与艺术生成，声音合成、计算美学与设计创作</t>
        </is>
      </c>
      <c r="E184" s="2" t="inlineStr">
        <is>
          <t>人工智能</t>
        </is>
      </c>
      <c r="F184" s="15" t="inlineStr">
        <is>
          <t>N</t>
        </is>
      </c>
      <c r="G184" s="6" t="inlineStr">
        <is>
          <t>—</t>
        </is>
      </c>
      <c r="H184" s="6" t="n">
        <v>46328.83263888889</v>
      </c>
      <c r="I184" s="7" t="inlineStr">
        <is>
          <t>Full papers</t>
        </is>
      </c>
      <c r="J184" s="2" t="inlineStr">
        <is>
          <t>AoE</t>
        </is>
      </c>
      <c r="K184" s="6" t="inlineStr">
        <is>
          <t>—</t>
        </is>
      </c>
      <c r="L184" s="6" t="n">
        <v>46398.83263888889</v>
      </c>
      <c r="M184" s="2">
        <f>IF(ISNUMBER(H184),IF(H184&gt;'_轮次'!$A$1,"未截止","已截止"),"TBD")</f>
        <v/>
      </c>
      <c r="N184" s="2">
        <f>IF(ISNUMBER(H184),IF(H184&gt;'_轮次'!$A$1,INT(H184-'_轮次'!$A$1),"—"),"—")</f>
        <v/>
      </c>
      <c r="O184" s="7" t="inlineStr">
        <is>
          <t>March 31-April 2, 2027</t>
        </is>
      </c>
      <c r="P184" s="4" t="inlineStr">
        <is>
          <t>Mainz, Germany (hybrid)</t>
        </is>
      </c>
      <c r="Q184" s="2" t="inlineStr">
        <is>
          <t>混合</t>
        </is>
      </c>
      <c r="R184" s="7" t="inlineStr">
        <is>
          <t>必须到场</t>
        </is>
      </c>
      <c r="S184" s="4" t="inlineStr">
        <is>
          <t>线下与线上并行</t>
        </is>
      </c>
      <c r="T184" s="2" t="inlineStr">
        <is>
          <t>不限</t>
        </is>
      </c>
      <c r="U184" s="2" t="inlineStr">
        <is>
          <t>—</t>
        </is>
      </c>
      <c r="V184" s="4" t="inlineStr">
        <is>
          <t>利好｜通道 Outstanding Student 提名</t>
        </is>
      </c>
      <c r="W184" s="2" t="inlineStr">
        <is>
          <t>已核实</t>
        </is>
      </c>
      <c r="X184" s="4" t="inlineStr">
        <is>
          <t>—</t>
        </is>
      </c>
      <c r="Y184" s="7" t="inlineStr">
        <is>
          <t>https://www.evostar.org/2027/evomusart/</t>
        </is>
      </c>
      <c r="Z184" s="4" t="inlineStr">
        <is>
          <t>EvoStar 联合会议之一，接受作品与演示；核查:2027官网已上线但未列截稿/通知日期，仅确认须到场报告</t>
        </is>
      </c>
    </row>
    <row r="185" ht="32" customHeight="1">
      <c r="A185" s="8" t="n">
        <v>184</v>
      </c>
      <c r="B185" s="9" t="inlineStr">
        <is>
          <t>RSS</t>
        </is>
      </c>
      <c r="C185" s="10" t="inlineStr">
        <is>
          <t>Robotics Science and Systems</t>
        </is>
      </c>
      <c r="D185" s="10" t="inlineStr">
        <is>
          <t>机器人学顶会，运动规划、感知与控制，重实机系统验证</t>
        </is>
      </c>
      <c r="E185" s="8" t="inlineStr">
        <is>
          <t>人工智能</t>
        </is>
      </c>
      <c r="F185" s="15" t="inlineStr">
        <is>
          <t>N</t>
        </is>
      </c>
      <c r="G185" s="11" t="inlineStr">
        <is>
          <t>—</t>
        </is>
      </c>
      <c r="H185" s="11" t="n">
        <v>46361.83263888889</v>
      </c>
      <c r="I185" s="12" t="inlineStr">
        <is>
          <t>Stage 1: initial 6-page extended abstract submission</t>
        </is>
      </c>
      <c r="J185" s="8" t="inlineStr">
        <is>
          <t>AoE</t>
        </is>
      </c>
      <c r="K185" s="11" t="n">
        <v>46431.83263888889</v>
      </c>
      <c r="L185" s="11" t="inlineStr">
        <is>
          <t>2027-04-30</t>
        </is>
      </c>
      <c r="M185" s="8">
        <f>IF(ISNUMBER(H185),IF(H185&gt;'_轮次'!$A$1,"未截止","已截止"),"TBD")</f>
        <v/>
      </c>
      <c r="N185" s="8">
        <f>IF(ISNUMBER(H185),IF(H185&gt;'_轮次'!$A$1,INT(H185-'_轮次'!$A$1),"—"),"—")</f>
        <v/>
      </c>
      <c r="O185" s="12" t="inlineStr">
        <is>
          <t>July 6-11, 2027</t>
        </is>
      </c>
      <c r="P185" s="10" t="inlineStr">
        <is>
          <t>Athens, Greece</t>
        </is>
      </c>
      <c r="Q185" s="8" t="inlineStr">
        <is>
          <t>线下</t>
        </is>
      </c>
      <c r="R185" s="12" t="inlineStr">
        <is>
          <t>必须到场</t>
        </is>
      </c>
      <c r="S185" s="10" t="inlineStr">
        <is>
          <t>不设线上通道</t>
        </is>
      </c>
      <c r="T185" s="8" t="inlineStr">
        <is>
          <t>不限</t>
        </is>
      </c>
      <c r="U185" s="8" t="inlineStr">
        <is>
          <t>—</t>
        </is>
      </c>
      <c r="V185" s="10" t="inlineStr">
        <is>
          <t>硬性｜OpenReview 账号；非机构邮箱审核约2周</t>
        </is>
      </c>
      <c r="W185" s="8" t="inlineStr">
        <is>
          <t>已核实</t>
        </is>
      </c>
      <c r="X185" s="10" t="inlineStr">
        <is>
          <t>—</t>
        </is>
      </c>
      <c r="Y185" s="12" t="inlineStr">
        <is>
          <t>https://roboticsconference.org/</t>
        </is>
      </c>
      <c r="Z185" s="10" t="inlineStr">
        <is>
          <t>强调真实机器人实验，纯仿真工作较难；核查:12-04为扩展摘要截稿；正式论文4-16，录用通知4-30</t>
        </is>
      </c>
    </row>
    <row r="186" ht="32" customHeight="1">
      <c r="A186" s="2" t="n">
        <v>185</v>
      </c>
      <c r="B186" s="3" t="inlineStr">
        <is>
          <t>WACV</t>
        </is>
      </c>
      <c r="C186" s="4" t="inlineStr">
        <is>
          <t>IEEE/CVF Winter Conference on Applications of Computer Vision</t>
        </is>
      </c>
      <c r="D186" s="4" t="inlineStr">
        <is>
          <t>计算机视觉应用冬会，检测分割与三维视觉，重工程实用</t>
        </is>
      </c>
      <c r="E186" s="2" t="inlineStr">
        <is>
          <t>人工智能</t>
        </is>
      </c>
      <c r="F186" s="15" t="inlineStr">
        <is>
          <t>N</t>
        </is>
      </c>
      <c r="G186" s="6">
        <f>IF(ISNUMBER(H186),IF(N(INDEX('_轮次'!$N$186:$Y$186,MATCH(H186,'_轮次'!$B$186:$M$186,0)))=0,"—",INDEX('_轮次'!$N$186:$Y$186,MATCH(H186,'_轮次'!$B$186:$M$186,0))),"—")</f>
        <v/>
      </c>
      <c r="H186" s="6">
        <f>IF(COUNT('_轮次'!$B$186:$M$186)=0,"待公布",IF(COUNTIF('_轮次'!$B$186:$M$186,"&gt;"&amp;'_轮次'!$A$1)&gt;0,SMALL('_轮次'!$B$186:$M$186,COUNTIF('_轮次'!$B$186:$M$186,"&lt;="&amp;'_轮次'!$A$1)+1),MAX('_轮次'!$B$186:$M$186)))</f>
        <v/>
      </c>
      <c r="I186" s="7">
        <f>IF(ISNUMBER(H186),INDEX('_轮次'!$AX$186:$BI$186,MATCH(H186,'_轮次'!$B$186:$M$186,0)),"—")</f>
        <v/>
      </c>
      <c r="J186" s="2" t="inlineStr">
        <is>
          <t>AoE</t>
        </is>
      </c>
      <c r="K186" s="6">
        <f>IF(ISNUMBER(H186),IF(N(INDEX('_轮次'!$Z$186:$AK$186,MATCH(H186,'_轮次'!$B$186:$M$186,0)))=0,"—",INDEX('_轮次'!$Z$186:$AK$186,MATCH(H186,'_轮次'!$B$186:$M$186,0))),"—")</f>
        <v/>
      </c>
      <c r="L186" s="6">
        <f>IF(ISNUMBER(H186),IF(N(INDEX('_轮次'!$AL$186:$AW$186,MATCH(H186,'_轮次'!$B$186:$M$186,0)))=0,"—",INDEX('_轮次'!$AL$186:$AW$186,MATCH(H186,'_轮次'!$B$186:$M$186,0))),"—")</f>
        <v/>
      </c>
      <c r="M186" s="2">
        <f>IF(ISNUMBER(H186),IF(H186&gt;'_轮次'!$A$1,"未截止","已截止"),"TBD")</f>
        <v/>
      </c>
      <c r="N186" s="2">
        <f>IF(ISNUMBER(H186),IF(H186&gt;'_轮次'!$A$1,INT(H186-'_轮次'!$A$1),"—"),"—")</f>
        <v/>
      </c>
      <c r="O186" s="7" t="inlineStr">
        <is>
          <t>Jan 4 - 8, 2027</t>
        </is>
      </c>
      <c r="P186" s="4" t="inlineStr">
        <is>
          <t>Disney Springs, Buena Vista, FL, USA</t>
        </is>
      </c>
      <c r="Q186" s="2" t="inlineStr">
        <is>
          <t>线下</t>
        </is>
      </c>
      <c r="R186" s="7" t="inlineStr">
        <is>
          <t>必须到场</t>
        </is>
      </c>
      <c r="S186" s="4" t="inlineStr">
        <is>
          <t>不设线上通道</t>
        </is>
      </c>
      <c r="T186" s="2" t="inlineStr">
        <is>
          <t>不限</t>
        </is>
      </c>
      <c r="U186" s="2" t="inlineStr">
        <is>
          <t>—</t>
        </is>
      </c>
      <c r="V186" s="4" t="inlineStr">
        <is>
          <t>硬性｜作者须承担审稿，每轮3-4篇，全程约6-7篇</t>
        </is>
      </c>
      <c r="W186" s="2" t="inlineStr">
        <is>
          <t>已核实</t>
        </is>
      </c>
      <c r="X186" s="4" t="inlineStr">
        <is>
          <t>—</t>
        </is>
      </c>
      <c r="Y186" s="7" t="inlineStr">
        <is>
          <t>https://wacv.thecvf.com/</t>
        </is>
      </c>
      <c r="Z186" s="4" t="inlineStr">
        <is>
          <t>CVF 格式，两轮投稿，录用后须到场；核查:两轮投稿：R1 2026-06-26、R2 2026-08-28；两轮终审同为10-14；全部轮次 First round:2026-06-27 / Second round:2026-08-29</t>
        </is>
      </c>
    </row>
    <row r="187" ht="32" customHeight="1">
      <c r="A187" s="8" t="n">
        <v>186</v>
      </c>
      <c r="B187" s="9" t="inlineStr">
        <is>
          <t>ACM SIGGRAPH ASIA</t>
        </is>
      </c>
      <c r="C187" s="10" t="inlineStr">
        <is>
          <t>ACM SIGGRAPH Annual Conference in Asia</t>
        </is>
      </c>
      <c r="D187" s="10" t="inlineStr">
        <is>
          <t>图形学亚洲旗舰，渲染、几何、动画与生成式图形前沿</t>
        </is>
      </c>
      <c r="E187" s="8" t="inlineStr">
        <is>
          <t>图形学与多媒体</t>
        </is>
      </c>
      <c r="F187" s="15" t="inlineStr">
        <is>
          <t>N</t>
        </is>
      </c>
      <c r="G187" s="11" t="inlineStr">
        <is>
          <t>—</t>
        </is>
      </c>
      <c r="H187" s="11" t="inlineStr">
        <is>
          <t>待公布</t>
        </is>
      </c>
      <c r="I187" s="12" t="inlineStr">
        <is>
          <t>—</t>
        </is>
      </c>
      <c r="J187" s="8" t="inlineStr">
        <is>
          <t>UTC-12</t>
        </is>
      </c>
      <c r="K187" s="11" t="inlineStr">
        <is>
          <t>—</t>
        </is>
      </c>
      <c r="L187" s="11" t="inlineStr">
        <is>
          <t>待公布</t>
        </is>
      </c>
      <c r="M187" s="8">
        <f>IF(ISNUMBER(H187),IF(H187&gt;'_轮次'!$A$1,"未截止","已截止"),"TBD")</f>
        <v/>
      </c>
      <c r="N187" s="8">
        <f>IF(ISNUMBER(H187),IF(H187&gt;'_轮次'!$A$1,INT(H187-'_轮次'!$A$1),"—"),"—")</f>
        <v/>
      </c>
      <c r="O187" s="12" t="inlineStr">
        <is>
          <t>November 30 - December 3, 2027</t>
        </is>
      </c>
      <c r="P187" s="10" t="inlineStr">
        <is>
          <t>Tokyo International Forum, Tokyo, Japan</t>
        </is>
      </c>
      <c r="Q187" s="8" t="inlineStr">
        <is>
          <t>线下</t>
        </is>
      </c>
      <c r="R187" s="12" t="inlineStr">
        <is>
          <t>必须到场</t>
        </is>
      </c>
      <c r="S187" s="10" t="inlineStr">
        <is>
          <t>部分内容线上直播</t>
        </is>
      </c>
      <c r="T187" s="8" t="inlineStr">
        <is>
          <t>不限</t>
        </is>
      </c>
      <c r="U187" s="8" t="inlineStr">
        <is>
          <t>—</t>
        </is>
      </c>
      <c r="V187" s="10" t="inlineStr">
        <is>
          <t>CFP未发布</t>
        </is>
      </c>
      <c r="W187" s="8" t="inlineStr">
        <is>
          <t>2027CFP未发布</t>
        </is>
      </c>
      <c r="X187" s="10" t="inlineStr">
        <is>
          <t>截稿日、新人条款</t>
        </is>
      </c>
      <c r="Y187" s="12" t="inlineStr">
        <is>
          <t>https://asia.siggraph.org/2027/</t>
        </is>
      </c>
      <c r="Z187" s="10" t="inlineStr">
        <is>
          <t>技术论文经 ACM TOG 期刊通道发表；核查:2027页面404，当前官网仅至2026届（吉隆坡12/1-4）</t>
        </is>
      </c>
    </row>
    <row r="188" ht="32" customHeight="1">
      <c r="A188" s="2" t="n">
        <v>187</v>
      </c>
      <c r="B188" s="3" t="inlineStr">
        <is>
          <t>EUSIPCO</t>
        </is>
      </c>
      <c r="C188" s="4" t="inlineStr">
        <is>
          <t>European Signal Processing Conference</t>
        </is>
      </c>
      <c r="D188" s="4" t="inlineStr">
        <is>
          <t>欧洲信号处理旗舰，语音图像、阵列处理与统计信号方法</t>
        </is>
      </c>
      <c r="E188" s="2" t="inlineStr">
        <is>
          <t>图形学与多媒体</t>
        </is>
      </c>
      <c r="F188" s="15" t="inlineStr">
        <is>
          <t>N</t>
        </is>
      </c>
      <c r="G188" s="6" t="inlineStr">
        <is>
          <t>—</t>
        </is>
      </c>
      <c r="H188" s="6" t="n">
        <v>46425.83263888889</v>
      </c>
      <c r="I188" s="7" t="inlineStr">
        <is>
          <t>单轮</t>
        </is>
      </c>
      <c r="J188" s="2" t="inlineStr">
        <is>
          <t>AoE</t>
        </is>
      </c>
      <c r="K188" s="6" t="inlineStr">
        <is>
          <t>—</t>
        </is>
      </c>
      <c r="L188" s="6" t="inlineStr">
        <is>
          <t>待公布</t>
        </is>
      </c>
      <c r="M188" s="2">
        <f>IF(ISNUMBER(H188),IF(H188&gt;'_轮次'!$A$1,"未截止","已截止"),"TBD")</f>
        <v/>
      </c>
      <c r="N188" s="2">
        <f>IF(ISNUMBER(H188),IF(H188&gt;'_轮次'!$A$1,INT(H188-'_轮次'!$A$1),"—"),"—")</f>
        <v/>
      </c>
      <c r="O188" s="7" t="inlineStr">
        <is>
          <t>August 30 - September 3, 2027</t>
        </is>
      </c>
      <c r="P188" s="4" t="inlineStr">
        <is>
          <t>Darmstadt, Germany</t>
        </is>
      </c>
      <c r="Q188" s="2" t="inlineStr">
        <is>
          <t>线下</t>
        </is>
      </c>
      <c r="R188" s="7" t="inlineStr">
        <is>
          <t>必须到场</t>
        </is>
      </c>
      <c r="S188" s="4" t="inlineStr">
        <is>
          <t>不设线上通道</t>
        </is>
      </c>
      <c r="T188" s="2" t="inlineStr">
        <is>
          <t>不限</t>
        </is>
      </c>
      <c r="U188" s="2" t="inlineStr">
        <is>
          <t>—</t>
        </is>
      </c>
      <c r="V188" s="4" t="inlineStr">
        <is>
          <t>利好｜通道 Best Student Paper Contest,Student Challenge,Student Luncheon</t>
        </is>
      </c>
      <c r="W188" s="2" t="inlineStr">
        <is>
          <t>已核实</t>
        </is>
      </c>
      <c r="X188" s="4" t="inlineStr">
        <is>
          <t>—</t>
        </is>
      </c>
      <c r="Y188" s="7" t="inlineStr">
        <is>
          <t>https://eusipco2027.de/</t>
        </is>
      </c>
      <c r="Z188" s="4" t="inlineStr">
        <is>
          <t>EURASIP 主办，短文为主，无 rebuttal；核查:会期2027-08-30至09-03，达姆施塔特；未列录用通知日</t>
        </is>
      </c>
    </row>
    <row r="189" ht="32" customHeight="1">
      <c r="A189" s="8" t="n">
        <v>188</v>
      </c>
      <c r="B189" s="9" t="inlineStr">
        <is>
          <t>IEEE CoG</t>
        </is>
      </c>
      <c r="C189" s="10" t="inlineStr">
        <is>
          <t>IEEE Conference on Games</t>
        </is>
      </c>
      <c r="D189" s="10" t="inlineStr">
        <is>
          <t>游戏AI专门会议，收程序化内容生成、玩家建模、对局AI与游戏评测</t>
        </is>
      </c>
      <c r="E189" s="8" t="inlineStr">
        <is>
          <t>图形学与多媒体</t>
        </is>
      </c>
      <c r="F189" s="15" t="inlineStr">
        <is>
          <t>N</t>
        </is>
      </c>
      <c r="G189" s="11">
        <f>IF(ISNUMBER(H189),IF(N(INDEX('_轮次'!$N$189:$Y$189,MATCH(H189,'_轮次'!$B$189:$M$189,0)))=0,"—",INDEX('_轮次'!$N$189:$Y$189,MATCH(H189,'_轮次'!$B$189:$M$189,0))),"—")</f>
        <v/>
      </c>
      <c r="H189" s="11">
        <f>IF(COUNT('_轮次'!$B$189:$M$189)=0,"待公布",IF(COUNTIF('_轮次'!$B$189:$M$189,"&gt;"&amp;'_轮次'!$A$1)&gt;0,SMALL('_轮次'!$B$189:$M$189,COUNTIF('_轮次'!$B$189:$M$189,"&lt;="&amp;'_轮次'!$A$1)+1),MAX('_轮次'!$B$189:$M$189)))</f>
        <v/>
      </c>
      <c r="I189" s="12">
        <f>IF(ISNUMBER(H189),INDEX('_轮次'!$AX$189:$BI$189,MATCH(H189,'_轮次'!$B$189:$M$189,0)),"—")</f>
        <v/>
      </c>
      <c r="J189" s="8" t="inlineStr">
        <is>
          <t>AoE</t>
        </is>
      </c>
      <c r="K189" s="11">
        <f>IF(ISNUMBER(H189),IF(N(INDEX('_轮次'!$Z$189:$AK$189,MATCH(H189,'_轮次'!$B$189:$M$189,0)))=0,"—",INDEX('_轮次'!$Z$189:$AK$189,MATCH(H189,'_轮次'!$B$189:$M$189,0))),"—")</f>
        <v/>
      </c>
      <c r="L189" s="11">
        <f>IF(ISNUMBER(H189),IF(N(INDEX('_轮次'!$AL$189:$AW$189,MATCH(H189,'_轮次'!$B$189:$M$189,0)))=0,"—",INDEX('_轮次'!$AL$189:$AW$189,MATCH(H189,'_轮次'!$B$189:$M$189,0))),"—")</f>
        <v/>
      </c>
      <c r="M189" s="8">
        <f>IF(ISNUMBER(H189),IF(H189&gt;'_轮次'!$A$1,"未截止","已截止"),"TBD")</f>
        <v/>
      </c>
      <c r="N189" s="8">
        <f>IF(ISNUMBER(H189),IF(H189&gt;'_轮次'!$A$1,INT(H189-'_轮次'!$A$1),"—"),"—")</f>
        <v/>
      </c>
      <c r="O189" s="12" t="inlineStr">
        <is>
          <t>August 2-5, 2027</t>
        </is>
      </c>
      <c r="P189" s="10" t="inlineStr">
        <is>
          <t>Aizuwakamatsu, Japan</t>
        </is>
      </c>
      <c r="Q189" s="8" t="inlineStr">
        <is>
          <t>线下</t>
        </is>
      </c>
      <c r="R189" s="12" t="inlineStr">
        <is>
          <t>待确认</t>
        </is>
      </c>
      <c r="S189" s="10" t="inlineStr">
        <is>
          <t>待确认</t>
        </is>
      </c>
      <c r="T189" s="8" t="inlineStr">
        <is>
          <t>不限</t>
        </is>
      </c>
      <c r="U189" s="8" t="inlineStr">
        <is>
          <t>—</t>
        </is>
      </c>
      <c r="V189" s="10" t="inlineStr">
        <is>
          <t>未找到</t>
        </is>
      </c>
      <c r="W189" s="8" t="inlineStr">
        <is>
          <t>未找到</t>
        </is>
      </c>
      <c r="X189" s="10" t="inlineStr">
        <is>
          <t>是否到场、新人条款</t>
        </is>
      </c>
      <c r="Y189" s="12" t="inlineStr">
        <is>
          <t>https://cog2027.u-aizu.ac.jp/</t>
        </is>
      </c>
      <c r="Z189" s="10" t="inlineStr">
        <is>
          <t>IEEE 主办，含竞赛与 demo track；核查:官网仅返回标题无正文，call-for-papers子页404；全部轮次 Full Technical Paper:2027-03-02 / Auxiliary Paper:2027-05-16</t>
        </is>
      </c>
    </row>
    <row r="190" ht="32" customHeight="1">
      <c r="A190" s="2" t="n">
        <v>189</v>
      </c>
      <c r="B190" s="3" t="inlineStr">
        <is>
          <t>ISIT</t>
        </is>
      </c>
      <c r="C190" s="4" t="inlineStr">
        <is>
          <t>IEEE International Symposium on Information Theory</t>
        </is>
      </c>
      <c r="D190" s="4" t="inlineStr">
        <is>
          <t>信息论旗舰会议，信道容量、纠错编码、压缩与统计推断理论</t>
        </is>
      </c>
      <c r="E190" s="2" t="inlineStr">
        <is>
          <t>计算机科学理论</t>
        </is>
      </c>
      <c r="F190" s="15" t="inlineStr">
        <is>
          <t>N</t>
        </is>
      </c>
      <c r="G190" s="6" t="inlineStr">
        <is>
          <t>—</t>
        </is>
      </c>
      <c r="H190" s="6" t="n">
        <v>46398.83263888889</v>
      </c>
      <c r="I190" s="7" t="inlineStr">
        <is>
          <t>单轮</t>
        </is>
      </c>
      <c r="J190" s="2" t="inlineStr">
        <is>
          <t>AoE</t>
        </is>
      </c>
      <c r="K190" s="6" t="inlineStr">
        <is>
          <t>—</t>
        </is>
      </c>
      <c r="L190" s="6" t="inlineStr">
        <is>
          <t>2027-03-27</t>
        </is>
      </c>
      <c r="M190" s="2">
        <f>IF(ISNUMBER(H190),IF(H190&gt;'_轮次'!$A$1,"未截止","已截止"),"TBD")</f>
        <v/>
      </c>
      <c r="N190" s="2">
        <f>IF(ISNUMBER(H190),IF(H190&gt;'_轮次'!$A$1,INT(H190-'_轮次'!$A$1),"—"),"—")</f>
        <v/>
      </c>
      <c r="O190" s="7" t="inlineStr">
        <is>
          <t>June 27 - July 2, 2027</t>
        </is>
      </c>
      <c r="P190" s="4" t="inlineStr">
        <is>
          <t>Sorrento, Italy</t>
        </is>
      </c>
      <c r="Q190" s="2" t="inlineStr">
        <is>
          <t>线下</t>
        </is>
      </c>
      <c r="R190" s="7" t="inlineStr">
        <is>
          <t>必须到场</t>
        </is>
      </c>
      <c r="S190" s="4" t="inlineStr">
        <is>
          <t>待确认</t>
        </is>
      </c>
      <c r="T190" s="2" t="inlineStr">
        <is>
          <t>不限</t>
        </is>
      </c>
      <c r="U190" s="2" t="inlineStr">
        <is>
          <t>—</t>
        </is>
      </c>
      <c r="V190" s="4" t="inlineStr">
        <is>
          <t>无专属条款</t>
        </is>
      </c>
      <c r="W190" s="2" t="inlineStr">
        <is>
          <t>已核实</t>
        </is>
      </c>
      <c r="X190" s="4" t="inlineStr">
        <is>
          <t>—</t>
        </is>
      </c>
      <c r="Y190" s="7" t="inlineStr">
        <is>
          <t>https://2027.ieee-isit.org/</t>
        </is>
      </c>
      <c r="Z190" s="4" t="inlineStr">
        <is>
          <t>IEEE IT Society 旗舰，纯理论向，篇幅极短；核查:录用须至少一位作者现场报告方入Xplore；CFP未写线上参会与篇数上限</t>
        </is>
      </c>
    </row>
    <row r="191" ht="32" customHeight="1">
      <c r="A191" s="8" t="n">
        <v>190</v>
      </c>
      <c r="B191" s="9" t="inlineStr">
        <is>
          <t>CHIIR</t>
        </is>
      </c>
      <c r="C191" s="10" t="inlineStr">
        <is>
          <t>ACM SIGIR Conference on Human Information Interaction and Retrieval</t>
        </is>
      </c>
      <c r="D191" s="10" t="inlineStr">
        <is>
          <t>信息交互与检索的用户侧研究，交互式检索、信息行为与可用性评测</t>
        </is>
      </c>
      <c r="E191" s="8" t="inlineStr">
        <is>
          <t>数据库/数据挖掘</t>
        </is>
      </c>
      <c r="F191" s="15" t="inlineStr">
        <is>
          <t>N</t>
        </is>
      </c>
      <c r="G191" s="11" t="n">
        <v>46304.83263888889</v>
      </c>
      <c r="H191" s="11" t="n">
        <v>46311.83263888889</v>
      </c>
      <c r="I191" s="12" t="inlineStr">
        <is>
          <t>单轮</t>
        </is>
      </c>
      <c r="J191" s="8" t="inlineStr">
        <is>
          <t>AoE</t>
        </is>
      </c>
      <c r="K191" s="11" t="inlineStr">
        <is>
          <t>—</t>
        </is>
      </c>
      <c r="L191" s="11" t="inlineStr">
        <is>
          <t>2026-12-15</t>
        </is>
      </c>
      <c r="M191" s="8">
        <f>IF(ISNUMBER(H191),IF(H191&gt;'_轮次'!$A$1,"未截止","已截止"),"TBD")</f>
        <v/>
      </c>
      <c r="N191" s="8">
        <f>IF(ISNUMBER(H191),IF(H191&gt;'_轮次'!$A$1,INT(H191-'_轮次'!$A$1),"—"),"—")</f>
        <v/>
      </c>
      <c r="O191" s="12" t="inlineStr">
        <is>
          <t>March 7-11, 2027</t>
        </is>
      </c>
      <c r="P191" s="10" t="inlineStr">
        <is>
          <t>Berlin, Germany</t>
        </is>
      </c>
      <c r="Q191" s="8" t="inlineStr">
        <is>
          <t>线下</t>
        </is>
      </c>
      <c r="R191" s="12" t="inlineStr">
        <is>
          <t>待确认</t>
        </is>
      </c>
      <c r="S191" s="10" t="inlineStr">
        <is>
          <t>待确认</t>
        </is>
      </c>
      <c r="T191" s="8" t="inlineStr">
        <is>
          <t>不限</t>
        </is>
      </c>
      <c r="U191" s="8" t="inlineStr">
        <is>
          <t>—</t>
        </is>
      </c>
      <c r="V191" s="10" t="inlineStr">
        <is>
          <t>利好｜通道 Doctoral Consortium,Student Volunteers</t>
        </is>
      </c>
      <c r="W191" s="8" t="inlineStr">
        <is>
          <t>已核实</t>
        </is>
      </c>
      <c r="X191" s="10" t="inlineStr">
        <is>
          <t>是否到场</t>
        </is>
      </c>
      <c r="Y191" s="12" t="inlineStr">
        <is>
          <t>https://chiir2027.github.io/</t>
        </is>
      </c>
      <c r="Z191" s="10" t="inlineStr">
        <is>
          <t>ACM SIGIR 系列，偏用户实验与人因；核查:官网称线下举办，但未明确作者到场条款；全文摘要截稿10-8</t>
        </is>
      </c>
    </row>
    <row r="192" ht="32" customHeight="1">
      <c r="A192" s="2" t="n">
        <v>191</v>
      </c>
      <c r="B192" s="3" t="inlineStr">
        <is>
          <t>CLEF</t>
        </is>
      </c>
      <c r="C192" s="4" t="inlineStr">
        <is>
          <t>Conference and Labs of the Evaluation Forum</t>
        </is>
      </c>
      <c r="D192" s="4" t="inlineStr">
        <is>
          <t>评测驱动的检索研究，以 CLEF Labs 共享任务与多语言评测为核心</t>
        </is>
      </c>
      <c r="E192" s="2" t="inlineStr">
        <is>
          <t>数据库/数据挖掘</t>
        </is>
      </c>
      <c r="F192" s="15" t="inlineStr">
        <is>
          <t>N</t>
        </is>
      </c>
      <c r="G192" s="6" t="inlineStr">
        <is>
          <t>—</t>
        </is>
      </c>
      <c r="H192" s="6" t="inlineStr">
        <is>
          <t>待公布</t>
        </is>
      </c>
      <c r="I192" s="7" t="inlineStr">
        <is>
          <t>—</t>
        </is>
      </c>
      <c r="J192" s="2" t="inlineStr">
        <is>
          <t>AoE</t>
        </is>
      </c>
      <c r="K192" s="6" t="inlineStr">
        <is>
          <t>—</t>
        </is>
      </c>
      <c r="L192" s="6" t="inlineStr">
        <is>
          <t>待公布</t>
        </is>
      </c>
      <c r="M192" s="2">
        <f>IF(ISNUMBER(H192),IF(H192&gt;'_轮次'!$A$1,"未截止","已截止"),"TBD")</f>
        <v/>
      </c>
      <c r="N192" s="2">
        <f>IF(ISNUMBER(H192),IF(H192&gt;'_轮次'!$A$1,INT(H192-'_轮次'!$A$1),"—"),"—")</f>
        <v/>
      </c>
      <c r="O192" s="7" t="inlineStr">
        <is>
          <t>September 14-17, 2027</t>
        </is>
      </c>
      <c r="P192" s="4" t="inlineStr">
        <is>
          <t>Bucharest, Romania</t>
        </is>
      </c>
      <c r="Q192" s="2" t="inlineStr">
        <is>
          <t>线下</t>
        </is>
      </c>
      <c r="R192" s="7" t="inlineStr">
        <is>
          <t>待确认</t>
        </is>
      </c>
      <c r="S192" s="4" t="inlineStr">
        <is>
          <t>待确认</t>
        </is>
      </c>
      <c r="T192" s="2" t="inlineStr">
        <is>
          <t>不限</t>
        </is>
      </c>
      <c r="U192" s="2" t="inlineStr">
        <is>
          <t>—</t>
        </is>
      </c>
      <c r="V192" s="4" t="inlineStr">
        <is>
          <t>CFP未发布</t>
        </is>
      </c>
      <c r="W192" s="2" t="inlineStr">
        <is>
          <t>2027CFP未发布</t>
        </is>
      </c>
      <c r="X192" s="4" t="inlineStr">
        <is>
          <t>截稿日、是否到场、新人条款</t>
        </is>
      </c>
      <c r="Y192" s="7" t="inlineStr">
        <is>
          <t>https://clef2027.clef-initiative.eu/</t>
        </is>
      </c>
      <c r="Z192" s="4" t="inlineStr">
        <is>
          <t>以 Labs 共享任务为主，论文多为评测报告；核查:官网仅公布会期2027-09-14/17与Lab提案征集，论文CFP未出</t>
        </is>
      </c>
    </row>
    <row r="193" ht="32" customHeight="1">
      <c r="A193" s="8" t="n">
        <v>192</v>
      </c>
      <c r="B193" s="9" t="inlineStr">
        <is>
          <t>HICSS</t>
        </is>
      </c>
      <c r="C193" s="10" t="inlineStr">
        <is>
          <t>Hawaii International Conference on System Sciences</t>
        </is>
      </c>
      <c r="D193" s="10" t="inlineStr">
        <is>
          <t>信息系统与管理交叉老牌会议，按 track 组织，偏IS实证与决策支持</t>
        </is>
      </c>
      <c r="E193" s="8" t="inlineStr">
        <is>
          <t>人机交互与普适计算</t>
        </is>
      </c>
      <c r="F193" s="15" t="inlineStr">
        <is>
          <t>N</t>
        </is>
      </c>
      <c r="G193" s="11" t="inlineStr">
        <is>
          <t>—</t>
        </is>
      </c>
      <c r="H193" s="11" t="n">
        <v>46189.74930555555</v>
      </c>
      <c r="I193" s="12" t="inlineStr">
        <is>
          <t>Paper Submission Deadline</t>
        </is>
      </c>
      <c r="J193" s="8" t="inlineStr">
        <is>
          <t>UTC-10</t>
        </is>
      </c>
      <c r="K193" s="11" t="inlineStr">
        <is>
          <t>—</t>
        </is>
      </c>
      <c r="L193" s="11" t="inlineStr">
        <is>
          <t>2026-08-17</t>
        </is>
      </c>
      <c r="M193" s="8">
        <f>IF(ISNUMBER(H193),IF(H193&gt;'_轮次'!$A$1,"未截止","已截止"),"TBD")</f>
        <v/>
      </c>
      <c r="N193" s="8">
        <f>IF(ISNUMBER(H193),IF(H193&gt;'_轮次'!$A$1,INT(H193-'_轮次'!$A$1),"—"),"—")</f>
        <v/>
      </c>
      <c r="O193" s="12" t="inlineStr">
        <is>
          <t>January 5-8, 2027</t>
        </is>
      </c>
      <c r="P193" s="10" t="inlineStr">
        <is>
          <t>Big Island, Hawaii, USA</t>
        </is>
      </c>
      <c r="Q193" s="8" t="inlineStr">
        <is>
          <t>线下</t>
        </is>
      </c>
      <c r="R193" s="12" t="inlineStr">
        <is>
          <t>必须到场</t>
        </is>
      </c>
      <c r="S193" s="10" t="inlineStr">
        <is>
          <t>待确认</t>
        </is>
      </c>
      <c r="T193" s="8" t="n">
        <v>5</v>
      </c>
      <c r="U193" s="8" t="inlineStr">
        <is>
          <t>每届</t>
        </is>
      </c>
      <c r="V193" s="10" t="inlineStr">
        <is>
          <t>未找到</t>
        </is>
      </c>
      <c r="W193" s="8" t="inlineStr">
        <is>
          <t>已核实</t>
        </is>
      </c>
      <c r="X193" s="10" t="inlineStr">
        <is>
          <t>新人条款</t>
        </is>
      </c>
      <c r="Y193" s="12" t="inlineStr">
        <is>
          <t>https://hicss.hawaii.edu/</t>
        </is>
      </c>
      <c r="Z193" s="10" t="inlineStr">
        <is>
          <t>以 Minitrack 组织，投稿须先选 track；核查:抓取时官网维护，日期与5篇上限取自官网快照及minitrack CFP</t>
        </is>
      </c>
    </row>
    <row r="194" ht="32" customHeight="1">
      <c r="A194" s="2" t="n">
        <v>193</v>
      </c>
      <c r="B194" s="3" t="inlineStr">
        <is>
          <t>BIS</t>
        </is>
      </c>
      <c r="C194" s="4" t="inlineStr">
        <is>
          <t>International Conference on Business Information Systems</t>
        </is>
      </c>
      <c r="D194" s="4" t="inlineStr">
        <is>
          <t>企业信息系统会议，业务流程管理、ERP、数据驱动决策与数字化</t>
        </is>
      </c>
      <c r="E194" s="2" t="inlineStr">
        <is>
          <t>交叉/综合/新兴</t>
        </is>
      </c>
      <c r="F194" s="15" t="inlineStr">
        <is>
          <t>N</t>
        </is>
      </c>
      <c r="G194" s="6" t="inlineStr">
        <is>
          <t>—</t>
        </is>
      </c>
      <c r="H194" s="6" t="n">
        <v>46399.83263888889</v>
      </c>
      <c r="I194" s="7" t="inlineStr">
        <is>
          <t>单轮</t>
        </is>
      </c>
      <c r="J194" s="2" t="inlineStr">
        <is>
          <t>AoE</t>
        </is>
      </c>
      <c r="K194" s="6" t="inlineStr">
        <is>
          <t>—</t>
        </is>
      </c>
      <c r="L194" s="6" t="inlineStr">
        <is>
          <t>2027-03-05</t>
        </is>
      </c>
      <c r="M194" s="2">
        <f>IF(ISNUMBER(H194),IF(H194&gt;'_轮次'!$A$1,"未截止","已截止"),"TBD")</f>
        <v/>
      </c>
      <c r="N194" s="2">
        <f>IF(ISNUMBER(H194),IF(H194&gt;'_轮次'!$A$1,INT(H194-'_轮次'!$A$1),"—"),"—")</f>
        <v/>
      </c>
      <c r="O194" s="7" t="inlineStr">
        <is>
          <t>June 23-25, 2027</t>
        </is>
      </c>
      <c r="P194" s="4" t="inlineStr">
        <is>
          <t>Poznań, Poland</t>
        </is>
      </c>
      <c r="Q194" s="2" t="inlineStr">
        <is>
          <t>线下</t>
        </is>
      </c>
      <c r="R194" s="7" t="inlineStr">
        <is>
          <t>必须到场</t>
        </is>
      </c>
      <c r="S194" s="4" t="inlineStr">
        <is>
          <t>不提供线上参会</t>
        </is>
      </c>
      <c r="T194" s="2" t="inlineStr">
        <is>
          <t>不限</t>
        </is>
      </c>
      <c r="U194" s="2" t="inlineStr">
        <is>
          <t>—</t>
        </is>
      </c>
      <c r="V194" s="4" t="inlineStr">
        <is>
          <t>无专属条款</t>
        </is>
      </c>
      <c r="W194" s="2" t="inlineStr">
        <is>
          <t>已核实</t>
        </is>
      </c>
      <c r="X194" s="4" t="inlineStr">
        <is>
          <t>—</t>
        </is>
      </c>
      <c r="Y194" s="7" t="inlineStr">
        <is>
          <t>https://bisconf.org/2027/</t>
        </is>
      </c>
      <c r="Z194" s="4" t="inlineStr">
        <is>
          <t>Springer LNBIP 出版；核查:官网明示in-person only，remote attendance not supported</t>
        </is>
      </c>
    </row>
    <row r="195" ht="32" customHeight="1">
      <c r="A195" s="8" t="n">
        <v>194</v>
      </c>
      <c r="B195" s="9" t="inlineStr">
        <is>
          <t>MLSys</t>
        </is>
      </c>
      <c r="C195" s="10" t="inlineStr">
        <is>
          <t>Conference on Machine Learning and Systems</t>
        </is>
      </c>
      <c r="D195" s="10" t="inlineStr">
        <is>
          <t>机器学习系统顶会，分布式训练、推理加速、编译与硬件协同设计</t>
        </is>
      </c>
      <c r="E195" s="8" t="inlineStr">
        <is>
          <t>交叉/综合/新兴</t>
        </is>
      </c>
      <c r="F195" s="15" t="inlineStr">
        <is>
          <t>N</t>
        </is>
      </c>
      <c r="G195" s="11" t="inlineStr">
        <is>
          <t>—</t>
        </is>
      </c>
      <c r="H195" s="11" t="n">
        <v>46326.16666666666</v>
      </c>
      <c r="I195" s="12" t="inlineStr">
        <is>
          <t>单轮</t>
        </is>
      </c>
      <c r="J195" s="8" t="inlineStr">
        <is>
          <t>UTC</t>
        </is>
      </c>
      <c r="K195" s="11" t="n">
        <v>46409.16666666666</v>
      </c>
      <c r="L195" s="11" t="inlineStr">
        <is>
          <t>2027-02-28</t>
        </is>
      </c>
      <c r="M195" s="8">
        <f>IF(ISNUMBER(H195),IF(H195&gt;'_轮次'!$A$1,"未截止","已截止"),"TBD")</f>
        <v/>
      </c>
      <c r="N195" s="8">
        <f>IF(ISNUMBER(H195),IF(H195&gt;'_轮次'!$A$1,INT(H195-'_轮次'!$A$1),"—"),"—")</f>
        <v/>
      </c>
      <c r="O195" s="12" t="inlineStr">
        <is>
          <t>June 21-25, 2027</t>
        </is>
      </c>
      <c r="P195" s="10" t="inlineStr">
        <is>
          <t>Bellevue, Washington, USA</t>
        </is>
      </c>
      <c r="Q195" s="8" t="inlineStr">
        <is>
          <t>线下</t>
        </is>
      </c>
      <c r="R195" s="12" t="inlineStr">
        <is>
          <t>待确认</t>
        </is>
      </c>
      <c r="S195" s="10" t="inlineStr">
        <is>
          <t>待确认</t>
        </is>
      </c>
      <c r="T195" s="8" t="n">
        <v>2</v>
      </c>
      <c r="U195" s="8" t="inlineStr">
        <is>
          <t>配额制</t>
        </is>
      </c>
      <c r="V195" s="10" t="inlineStr">
        <is>
          <t>硬性｜配额 2 篇（全为单作者时）</t>
        </is>
      </c>
      <c r="W195" s="8" t="inlineStr">
        <is>
          <t>已核实</t>
        </is>
      </c>
      <c r="X195" s="10" t="inlineStr">
        <is>
          <t>是否到场</t>
        </is>
      </c>
      <c r="Y195" s="12" t="inlineStr">
        <is>
          <t>https://mlsys.org/</t>
        </is>
      </c>
      <c r="Z195" s="10" t="inlineStr">
        <is>
          <t>重系统实现与实测，通常需开源代码；核查:配额制：单作者2篇、10人合作20篇；CFP未提现场报告要求；重查:CFP 未写到场要求</t>
        </is>
      </c>
    </row>
    <row r="196" ht="32" customHeight="1">
      <c r="A196" s="2" t="n">
        <v>195</v>
      </c>
      <c r="B196" s="3" t="inlineStr">
        <is>
          <t>SAI</t>
        </is>
      </c>
      <c r="C196" s="4" t="inlineStr">
        <is>
          <t>Computing Conference (SAI)</t>
        </is>
      </c>
      <c r="D196" s="4" t="inlineStr">
        <is>
          <t>综合性计算会议，AI、云计算、网络安全与软件工程多主题并行征稿</t>
        </is>
      </c>
      <c r="E196" s="2" t="inlineStr">
        <is>
          <t>交叉/综合/新兴</t>
        </is>
      </c>
      <c r="F196" s="15" t="inlineStr">
        <is>
          <t>N</t>
        </is>
      </c>
      <c r="G196" s="6">
        <f>IF(ISNUMBER(H196),IF(N(INDEX('_轮次'!$N$196:$Y$196,MATCH(H196,'_轮次'!$B$196:$M$196,0)))=0,"—",INDEX('_轮次'!$N$196:$Y$196,MATCH(H196,'_轮次'!$B$196:$M$196,0))),"—")</f>
        <v/>
      </c>
      <c r="H196" s="6">
        <f>IF(COUNT('_轮次'!$B$196:$M$196)=0,"待公布",IF(COUNTIF('_轮次'!$B$196:$M$196,"&gt;"&amp;'_轮次'!$A$1)&gt;0,SMALL('_轮次'!$B$196:$M$196,COUNTIF('_轮次'!$B$196:$M$196,"&lt;="&amp;'_轮次'!$A$1)+1),MAX('_轮次'!$B$196:$M$196)))</f>
        <v/>
      </c>
      <c r="I196" s="7">
        <f>IF(ISNUMBER(H196),INDEX('_轮次'!$AX$196:$BI$196,MATCH(H196,'_轮次'!$B$196:$M$196,0)),"—")</f>
        <v/>
      </c>
      <c r="J196" s="2" t="inlineStr">
        <is>
          <t>AoE</t>
        </is>
      </c>
      <c r="K196" s="6">
        <f>IF(ISNUMBER(H196),IF(N(INDEX('_轮次'!$Z$196:$AK$196,MATCH(H196,'_轮次'!$B$196:$M$196,0)))=0,"—",INDEX('_轮次'!$Z$196:$AK$196,MATCH(H196,'_轮次'!$B$196:$M$196,0))),"—")</f>
        <v/>
      </c>
      <c r="L196" s="6">
        <f>IF(ISNUMBER(H196),IF(N(INDEX('_轮次'!$AL$196:$AW$196,MATCH(H196,'_轮次'!$B$196:$M$196,0)))=0,"—",INDEX('_轮次'!$AL$196:$AW$196,MATCH(H196,'_轮次'!$B$196:$M$196,0))),"—")</f>
        <v/>
      </c>
      <c r="M196" s="2">
        <f>IF(ISNUMBER(H196),IF(H196&gt;'_轮次'!$A$1,"未截止","已截止"),"TBD")</f>
        <v/>
      </c>
      <c r="N196" s="2">
        <f>IF(ISNUMBER(H196),IF(H196&gt;'_轮次'!$A$1,INT(H196-'_轮次'!$A$1),"—"),"—")</f>
        <v/>
      </c>
      <c r="O196" s="7" t="inlineStr">
        <is>
          <t>July 8-9, 2027</t>
        </is>
      </c>
      <c r="P196" s="4" t="inlineStr">
        <is>
          <t>London, United Kingdom</t>
        </is>
      </c>
      <c r="Q196" s="2" t="inlineStr">
        <is>
          <t>线下</t>
        </is>
      </c>
      <c r="R196" s="7" t="inlineStr">
        <is>
          <t>待确认</t>
        </is>
      </c>
      <c r="S196" s="4" t="inlineStr">
        <is>
          <t>待确认</t>
        </is>
      </c>
      <c r="T196" s="2" t="inlineStr">
        <is>
          <t>不限</t>
        </is>
      </c>
      <c r="U196" s="2" t="inlineStr">
        <is>
          <t>—</t>
        </is>
      </c>
      <c r="V196" s="4" t="inlineStr">
        <is>
          <t>无专属条款</t>
        </is>
      </c>
      <c r="W196" s="2" t="inlineStr">
        <is>
          <t>未找到</t>
        </is>
      </c>
      <c r="X196" s="4" t="inlineStr">
        <is>
          <t>是否到场</t>
        </is>
      </c>
      <c r="Y196" s="7" t="inlineStr">
        <is>
          <t>https://saiconference.com/Computing</t>
        </is>
      </c>
      <c r="Z196" s="4" t="inlineStr">
        <is>
          <t>录用门槛相对宽松，需留意注册与版面费；核查:官网仅给出会期2027-07-08/09，未见截稿日；全部轮次 Round 1:2026-10-02 / Round 2:2026-12-02</t>
        </is>
      </c>
    </row>
    <row r="197" ht="32" customHeight="1">
      <c r="A197" s="8" t="n">
        <v>196</v>
      </c>
      <c r="B197" s="9" t="inlineStr">
        <is>
          <t>SIGCSE</t>
        </is>
      </c>
      <c r="C197" s="10" t="inlineStr">
        <is>
          <t>Technical Symposium on Computer Science Education Conference</t>
        </is>
      </c>
      <c r="D197" s="10" t="inlineStr">
        <is>
          <t>计算机教育旗舰会议，课程设计、教学法、教学工具与学习效果评估</t>
        </is>
      </c>
      <c r="E197" s="8" t="inlineStr">
        <is>
          <t>交叉/综合/新兴</t>
        </is>
      </c>
      <c r="F197" s="15" t="inlineStr">
        <is>
          <t>N</t>
        </is>
      </c>
      <c r="G197" s="11" t="n">
        <v>46200.83263888889</v>
      </c>
      <c r="H197" s="11" t="n">
        <v>46207.83263888889</v>
      </c>
      <c r="I197" s="12" t="inlineStr">
        <is>
          <t>单轮</t>
        </is>
      </c>
      <c r="J197" s="8" t="inlineStr">
        <is>
          <t>UTC-12</t>
        </is>
      </c>
      <c r="K197" s="11" t="inlineStr">
        <is>
          <t>—</t>
        </is>
      </c>
      <c r="L197" s="11" t="inlineStr">
        <is>
          <t>2026-09-14</t>
        </is>
      </c>
      <c r="M197" s="8">
        <f>IF(ISNUMBER(H197),IF(H197&gt;'_轮次'!$A$1,"未截止","已截止"),"TBD")</f>
        <v/>
      </c>
      <c r="N197" s="8">
        <f>IF(ISNUMBER(H197),IF(H197&gt;'_轮次'!$A$1,INT(H197-'_轮次'!$A$1),"—"),"—")</f>
        <v/>
      </c>
      <c r="O197" s="12" t="inlineStr">
        <is>
          <t>February 17-20, 2027</t>
        </is>
      </c>
      <c r="P197" s="10" t="inlineStr">
        <is>
          <t>Sacramento, California, USA</t>
        </is>
      </c>
      <c r="Q197" s="8" t="inlineStr">
        <is>
          <t>线下</t>
        </is>
      </c>
      <c r="R197" s="12" t="inlineStr">
        <is>
          <t>必须到场</t>
        </is>
      </c>
      <c r="S197" s="10" t="inlineStr">
        <is>
          <t>无远程参会选项</t>
        </is>
      </c>
      <c r="T197" s="8" t="inlineStr">
        <is>
          <t>不限</t>
        </is>
      </c>
      <c r="U197" s="8" t="inlineStr">
        <is>
          <t>—</t>
        </is>
      </c>
      <c r="V197" s="10" t="inlineStr">
        <is>
          <t>利好｜通道 ACM Student Research Competition, Doctoral Consortium</t>
        </is>
      </c>
      <c r="W197" s="8" t="inlineStr">
        <is>
          <t>已核实</t>
        </is>
      </c>
      <c r="X197" s="10" t="inlineStr">
        <is>
          <t>—</t>
        </is>
      </c>
      <c r="Y197" s="12" t="inlineStr">
        <is>
          <t>https://2027.sigcse-ts.acm.org/</t>
        </is>
      </c>
      <c r="Z197" s="10" t="inlineStr">
        <is>
          <t>教育类会议，非传统科研投稿，重教学实证；核查:论文摘要2026-06-26，一轮正文2026-07-03</t>
        </is>
      </c>
    </row>
    <row r="198" ht="32" customHeight="1">
      <c r="A198" s="2" t="n">
        <v>197</v>
      </c>
      <c r="B198" s="3" t="inlineStr">
        <is>
          <t>MMSys</t>
        </is>
      </c>
      <c r="C198" s="4" t="inlineStr">
        <is>
          <t>ACM International Conference on Multimedia Systems</t>
        </is>
      </c>
      <c r="D198" s="4" t="inlineStr">
        <is>
          <t>多媒体系统会议，流媒体传输、视频编解码、低延迟与VR视频</t>
        </is>
      </c>
      <c r="E198" s="2" t="inlineStr">
        <is>
          <t>计算机网络</t>
        </is>
      </c>
      <c r="F198" s="15" t="inlineStr">
        <is>
          <t>N</t>
        </is>
      </c>
      <c r="G198" s="6">
        <f>IF(ISNUMBER(H198),IF(N(INDEX('_轮次'!$N$198:$Y$198,MATCH(H198,'_轮次'!$B$198:$M$198,0)))=0,"—",INDEX('_轮次'!$N$198:$Y$198,MATCH(H198,'_轮次'!$B$198:$M$198,0))),"—")</f>
        <v/>
      </c>
      <c r="H198" s="6">
        <f>IF(COUNT('_轮次'!$B$198:$M$198)=0,"待公布",IF(COUNTIF('_轮次'!$B$198:$M$198,"&gt;"&amp;'_轮次'!$A$1)&gt;0,SMALL('_轮次'!$B$198:$M$198,COUNTIF('_轮次'!$B$198:$M$198,"&lt;="&amp;'_轮次'!$A$1)+1),MAX('_轮次'!$B$198:$M$198)))</f>
        <v/>
      </c>
      <c r="I198" s="7">
        <f>IF(ISNUMBER(H198),INDEX('_轮次'!$AX$198:$BI$198,MATCH(H198,'_轮次'!$B$198:$M$198,0)),"—")</f>
        <v/>
      </c>
      <c r="J198" s="2" t="inlineStr">
        <is>
          <t>AoE</t>
        </is>
      </c>
      <c r="K198" s="6">
        <f>IF(ISNUMBER(H198),IF(N(INDEX('_轮次'!$Z$198:$AK$198,MATCH(H198,'_轮次'!$B$198:$M$198,0)))=0,"—",INDEX('_轮次'!$Z$198:$AK$198,MATCH(H198,'_轮次'!$B$198:$M$198,0))),"—")</f>
        <v/>
      </c>
      <c r="L198" s="6">
        <f>IF(ISNUMBER(H198),IF(N(INDEX('_轮次'!$AL$198:$AW$198,MATCH(H198,'_轮次'!$B$198:$M$198,0)))=0,"—",INDEX('_轮次'!$AL$198:$AW$198,MATCH(H198,'_轮次'!$B$198:$M$198,0))),"—")</f>
        <v/>
      </c>
      <c r="M198" s="2">
        <f>IF(ISNUMBER(H198),IF(H198&gt;'_轮次'!$A$1,"未截止","已截止"),"TBD")</f>
        <v/>
      </c>
      <c r="N198" s="2">
        <f>IF(ISNUMBER(H198),IF(H198&gt;'_轮次'!$A$1,INT(H198-'_轮次'!$A$1),"—"),"—")</f>
        <v/>
      </c>
      <c r="O198" s="7" t="inlineStr">
        <is>
          <t>March 30 - April 2, 2027</t>
        </is>
      </c>
      <c r="P198" s="4" t="inlineStr">
        <is>
          <t>Ghent, Belgium</t>
        </is>
      </c>
      <c r="Q198" s="2" t="inlineStr">
        <is>
          <t>线下</t>
        </is>
      </c>
      <c r="R198" s="7" t="inlineStr">
        <is>
          <t>待确认</t>
        </is>
      </c>
      <c r="S198" s="4" t="inlineStr">
        <is>
          <t>待确认</t>
        </is>
      </c>
      <c r="T198" s="2" t="inlineStr">
        <is>
          <t>不限</t>
        </is>
      </c>
      <c r="U198" s="2" t="inlineStr">
        <is>
          <t>—</t>
        </is>
      </c>
      <c r="V198" s="4" t="inlineStr">
        <is>
          <t>未找到</t>
        </is>
      </c>
      <c r="W198" s="2" t="inlineStr">
        <is>
          <t>已核实</t>
        </is>
      </c>
      <c r="X198" s="4" t="inlineStr">
        <is>
          <t>是否到场、新人条款</t>
        </is>
      </c>
      <c r="Y198" s="7" t="inlineStr">
        <is>
          <t>https://2027.acmmmsys.org</t>
        </is>
      </c>
      <c r="Z198" s="4" t="inlineStr">
        <is>
          <t>ACM SIGMM 系列，偏系统与实测；核查:官网仅有会期，CFP子页404；重查:研究轨两轮截稿 2026-09-17 / 11-19；页面未写到场与新人条款；全部轮次 Research Track - First Round (extended):2026-09-18 / Research Track - Second Round:2026-11-20</t>
        </is>
      </c>
    </row>
    <row r="199" ht="32" customHeight="1">
      <c r="A199" s="8" t="n">
        <v>198</v>
      </c>
      <c r="B199" s="9" t="inlineStr">
        <is>
          <t>NOMS</t>
        </is>
      </c>
      <c r="C199" s="10" t="inlineStr">
        <is>
          <t>IEEE/IFIP Network Operations and Management Symposium</t>
        </is>
      </c>
      <c r="D199" s="10" t="inlineStr">
        <is>
          <t>网络运维与管理会议，SDN/NFV 编排、故障诊断与自治网络</t>
        </is>
      </c>
      <c r="E199" s="8" t="inlineStr">
        <is>
          <t>网络与信息安全</t>
        </is>
      </c>
      <c r="F199" s="15" t="inlineStr">
        <is>
          <t>N</t>
        </is>
      </c>
      <c r="G199" s="11" t="inlineStr">
        <is>
          <t>—</t>
        </is>
      </c>
      <c r="H199" s="11" t="n">
        <v>46336.83263888889</v>
      </c>
      <c r="I199" s="12" t="inlineStr">
        <is>
          <t>单轮</t>
        </is>
      </c>
      <c r="J199" s="8" t="inlineStr">
        <is>
          <t>AoE</t>
        </is>
      </c>
      <c r="K199" s="11" t="inlineStr">
        <is>
          <t>—</t>
        </is>
      </c>
      <c r="L199" s="11" t="inlineStr">
        <is>
          <t>2027-02-15</t>
        </is>
      </c>
      <c r="M199" s="8">
        <f>IF(ISNUMBER(H199),IF(H199&gt;'_轮次'!$A$1,"未截止","已截止"),"TBD")</f>
        <v/>
      </c>
      <c r="N199" s="8">
        <f>IF(ISNUMBER(H199),IF(H199&gt;'_轮次'!$A$1,INT(H199-'_轮次'!$A$1),"—"),"—")</f>
        <v/>
      </c>
      <c r="O199" s="12" t="inlineStr">
        <is>
          <t>May 10-14, 2027</t>
        </is>
      </c>
      <c r="P199" s="10" t="inlineStr">
        <is>
          <t>Montreal, Canada</t>
        </is>
      </c>
      <c r="Q199" s="8" t="inlineStr">
        <is>
          <t>线下</t>
        </is>
      </c>
      <c r="R199" s="12" t="inlineStr">
        <is>
          <t>待确认</t>
        </is>
      </c>
      <c r="S199" s="10" t="inlineStr">
        <is>
          <t>待确认</t>
        </is>
      </c>
      <c r="T199" s="8" t="inlineStr">
        <is>
          <t>不限</t>
        </is>
      </c>
      <c r="U199" s="8" t="inlineStr">
        <is>
          <t>—</t>
        </is>
      </c>
      <c r="V199" s="10" t="inlineStr">
        <is>
          <t>利好｜通道 Dissertation Session</t>
        </is>
      </c>
      <c r="W199" s="8" t="inlineStr">
        <is>
          <t>已核实</t>
        </is>
      </c>
      <c r="X199" s="10" t="inlineStr">
        <is>
          <t>是否到场</t>
        </is>
      </c>
      <c r="Y199" s="12" t="inlineStr">
        <is>
          <t>https://noms2027.ieee-noms.org/</t>
        </is>
      </c>
      <c r="Z199" s="10" t="inlineStr">
        <is>
          <t>IEEE/IFIP 联合主办，偏工业运维实践；核查:CFP未写现场报告与远程参会要求；重查:重查失败：官网拒绝抓取（HTTP 418），需人工打开</t>
        </is>
      </c>
    </row>
    <row r="200" ht="32" customHeight="1">
      <c r="A200" s="2" t="n">
        <v>199</v>
      </c>
      <c r="B200" s="3" t="inlineStr">
        <is>
          <t>SAIS</t>
        </is>
      </c>
      <c r="C200" s="4" t="inlineStr">
        <is>
          <t>USENIX Conference on Secure Agentic-AI Systems</t>
        </is>
      </c>
      <c r="D200" s="4" t="inlineStr">
        <is>
          <t>智能体AI系统安全新会议，关注LLM智能体攻击面与可信部署</t>
        </is>
      </c>
      <c r="E200" s="2" t="inlineStr">
        <is>
          <t>网络与信息安全</t>
        </is>
      </c>
      <c r="F200" s="15" t="inlineStr">
        <is>
          <t>N</t>
        </is>
      </c>
      <c r="G200" s="6" t="inlineStr">
        <is>
          <t>—</t>
        </is>
      </c>
      <c r="H200" s="6" t="n">
        <v>46423.83263888889</v>
      </c>
      <c r="I200" s="7" t="inlineStr">
        <is>
          <t>Paper submission deadline</t>
        </is>
      </c>
      <c r="J200" s="2" t="inlineStr">
        <is>
          <t>AoE</t>
        </is>
      </c>
      <c r="K200" s="6" t="inlineStr">
        <is>
          <t>—</t>
        </is>
      </c>
      <c r="L200" s="6" t="inlineStr">
        <is>
          <t>2027-03-16</t>
        </is>
      </c>
      <c r="M200" s="2">
        <f>IF(ISNUMBER(H200),IF(H200&gt;'_轮次'!$A$1,"未截止","已截止"),"TBD")</f>
        <v/>
      </c>
      <c r="N200" s="2">
        <f>IF(ISNUMBER(H200),IF(H200&gt;'_轮次'!$A$1,INT(H200-'_轮次'!$A$1),"—"),"—")</f>
        <v/>
      </c>
      <c r="O200" s="7" t="inlineStr">
        <is>
          <t>June 7-8, 2027</t>
        </is>
      </c>
      <c r="P200" s="4" t="inlineStr">
        <is>
          <t>Santa Clara, CA, USA</t>
        </is>
      </c>
      <c r="Q200" s="2" t="inlineStr">
        <is>
          <t>线下</t>
        </is>
      </c>
      <c r="R200" s="7" t="inlineStr">
        <is>
          <t>待确认</t>
        </is>
      </c>
      <c r="S200" s="4" t="inlineStr">
        <is>
          <t>待确认</t>
        </is>
      </c>
      <c r="T200" s="2" t="inlineStr">
        <is>
          <t>不限</t>
        </is>
      </c>
      <c r="U200" s="2" t="inlineStr">
        <is>
          <t>—</t>
        </is>
      </c>
      <c r="V200" s="4" t="inlineStr">
        <is>
          <t>硬性｜全体作者须建 HotCRP 档并填 ORCID</t>
        </is>
      </c>
      <c r="W200" s="2" t="inlineStr">
        <is>
          <t>已核实</t>
        </is>
      </c>
      <c r="X200" s="4" t="inlineStr">
        <is>
          <t>是否到场</t>
        </is>
      </c>
      <c r="Y200" s="7" t="inlineStr">
        <is>
          <t>https://www.usenix.org/conference/sais27</t>
        </is>
      </c>
      <c r="Z200" s="4" t="inlineStr">
        <is>
          <t>USENIX 新设会议，首届规则可能调整；核查:首年新会议，Preliminary CFP</t>
        </is>
      </c>
    </row>
    <row r="201" ht="32" customHeight="1">
      <c r="A201" s="8" t="n">
        <v>200</v>
      </c>
      <c r="B201" s="9" t="inlineStr">
        <is>
          <t>SATML</t>
        </is>
      </c>
      <c r="C201" s="10" t="inlineStr">
        <is>
          <t>IEEE Conference on Secure and Trustworthy Machine Learning</t>
        </is>
      </c>
      <c r="D201" s="10" t="inlineStr">
        <is>
          <t>机器学习安全与可信会议，对抗攻击、鲁棒性、隐私与可解释性</t>
        </is>
      </c>
      <c r="E201" s="8" t="inlineStr">
        <is>
          <t>网络与信息安全</t>
        </is>
      </c>
      <c r="F201" s="15" t="inlineStr">
        <is>
          <t>N</t>
        </is>
      </c>
      <c r="G201" s="11" t="n">
        <v>46288.83263888889</v>
      </c>
      <c r="H201" s="11" t="n">
        <v>46295.83263888889</v>
      </c>
      <c r="I201" s="12" t="inlineStr">
        <is>
          <t>单轮</t>
        </is>
      </c>
      <c r="J201" s="8" t="inlineStr">
        <is>
          <t>UTC-12</t>
        </is>
      </c>
      <c r="K201" s="11" t="n">
        <v>46366.83263888889</v>
      </c>
      <c r="L201" s="11" t="inlineStr">
        <is>
          <t>2026-12-16</t>
        </is>
      </c>
      <c r="M201" s="8">
        <f>IF(ISNUMBER(H201),IF(H201&gt;'_轮次'!$A$1,"未截止","已截止"),"TBD")</f>
        <v/>
      </c>
      <c r="N201" s="8">
        <f>IF(ISNUMBER(H201),IF(H201&gt;'_轮次'!$A$1,INT(H201-'_轮次'!$A$1),"—"),"—")</f>
        <v/>
      </c>
      <c r="O201" s="12" t="inlineStr">
        <is>
          <t>May 2027 (exact dates TBD)</t>
        </is>
      </c>
      <c r="P201" s="10" t="inlineStr">
        <is>
          <t>Reykjavik, Iceland</t>
        </is>
      </c>
      <c r="Q201" s="8" t="inlineStr">
        <is>
          <t>线下</t>
        </is>
      </c>
      <c r="R201" s="12" t="inlineStr">
        <is>
          <t>必须到场</t>
        </is>
      </c>
      <c r="S201" s="10" t="inlineStr">
        <is>
          <t>不设远程报告，仅线下</t>
        </is>
      </c>
      <c r="T201" s="8" t="inlineStr">
        <is>
          <t>不限</t>
        </is>
      </c>
      <c r="U201" s="8" t="inlineStr">
        <is>
          <t>—</t>
        </is>
      </c>
      <c r="V201" s="10" t="inlineStr">
        <is>
          <t>硬性｜每篇须提名一名作者审稿，缺失可致拒稿</t>
        </is>
      </c>
      <c r="W201" s="8" t="inlineStr">
        <is>
          <t>已核实</t>
        </is>
      </c>
      <c r="X201" s="10" t="inlineStr">
        <is>
          <t>—</t>
        </is>
      </c>
      <c r="Y201" s="12" t="inlineStr">
        <is>
          <t>https://satml.org/</t>
        </is>
      </c>
      <c r="Z201" s="10" t="inlineStr">
        <is>
          <t>IEEE 主办，安全与ML交叉，含竞赛 track；核查:摘要注册2026-09-22必填</t>
        </is>
      </c>
    </row>
  </sheetData>
  <autoFilter ref="A1:Z201"/>
  <conditionalFormatting sqref="M2:M201">
    <cfRule type="cellIs" priority="1" operator="equal" dxfId="0">
      <formula>"已截止"</formula>
    </cfRule>
    <cfRule type="cellIs" priority="2" operator="equal" dxfId="1">
      <formula>"未截止"</formula>
    </cfRule>
    <cfRule type="cellIs" priority="3" operator="equal" dxfId="2">
      <formula>"TBD"</formula>
    </cfRule>
  </conditionalFormatting>
  <conditionalFormatting sqref="N2:N201">
    <cfRule type="expression" priority="4" dxfId="3">
      <formula>AND(ISNUMBER(N2),N2&lt;=30)</formula>
    </cfRule>
    <cfRule type="expression" priority="5" dxfId="4">
      <formula>AND(ISNUMBER(N2),N2&gt;30,N2&lt;=90)</formula>
    </cfRule>
  </conditionalFormatting>
  <conditionalFormatting sqref="W2:W201">
    <cfRule type="cellIs" priority="6" operator="equal" dxfId="5">
      <formula>"已核实"</formula>
    </cfRule>
    <cfRule type="cellIs" priority="7" operator="equal" dxfId="2">
      <formula>"2027CFP未发布"</formula>
    </cfRule>
    <cfRule type="cellIs" priority="8" operator="equal" dxfId="6">
      <formula>"未核查"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5" customWidth="1" min="3" max="3"/>
    <col width="16" customWidth="1" min="4" max="4"/>
    <col width="9" customWidth="1" min="5" max="5"/>
    <col width="14" customWidth="1" min="6" max="6"/>
    <col width="8" customWidth="1" min="7" max="7"/>
    <col width="8" customWidth="1" min="8" max="8"/>
    <col width="22" customWidth="1" min="9" max="9"/>
    <col width="13" customWidth="1" min="10" max="10"/>
    <col width="44" customWidth="1" min="11" max="11"/>
    <col width="40" customWidth="1" min="12" max="12"/>
  </cols>
  <sheetData>
    <row r="1" ht="36" customHeight="1">
      <c r="A1" s="1" t="inlineStr">
        <is>
          <t>序号</t>
        </is>
      </c>
      <c r="B1" s="1" t="inlineStr">
        <is>
          <t>简称</t>
        </is>
      </c>
      <c r="C1" s="1" t="inlineStr">
        <is>
          <t>CCF</t>
        </is>
      </c>
      <c r="D1" s="1" t="inlineStr">
        <is>
          <t>页数限制</t>
        </is>
      </c>
      <c r="E1" s="1" t="inlineStr">
        <is>
          <t>盲审</t>
        </is>
      </c>
      <c r="F1" s="1" t="inlineStr">
        <is>
          <t>投稿系统</t>
        </is>
      </c>
      <c r="G1" s="1" t="inlineStr">
        <is>
          <t>CORE</t>
        </is>
      </c>
      <c r="H1" s="1" t="inlineStr">
        <is>
          <t>THCPL</t>
        </is>
      </c>
      <c r="I1" s="1" t="inlineStr">
        <is>
          <t>作者投稿上限（原文）</t>
        </is>
      </c>
      <c r="J1" s="1" t="inlineStr">
        <is>
          <t>官网核查</t>
        </is>
      </c>
      <c r="K1" s="1" t="inlineStr">
        <is>
          <t>核查依据</t>
        </is>
      </c>
      <c r="L1" s="1" t="inlineStr">
        <is>
          <t>备注</t>
        </is>
      </c>
    </row>
    <row r="2" ht="28" customHeight="1">
      <c r="A2" s="8" t="n">
        <v>1</v>
      </c>
      <c r="B2" s="9" t="inlineStr">
        <is>
          <t>AAAI</t>
        </is>
      </c>
      <c r="C2" s="8" t="inlineStr">
        <is>
          <t>A</t>
        </is>
      </c>
      <c r="D2" s="12" t="inlineStr">
        <is>
          <t>7 页正文 + refs</t>
        </is>
      </c>
      <c r="E2" s="8" t="inlineStr">
        <is>
          <t>双盲</t>
        </is>
      </c>
      <c r="F2" s="12" t="inlineStr">
        <is>
          <t>OpenReview</t>
        </is>
      </c>
      <c r="G2" s="8" t="inlineStr">
        <is>
          <t>A*</t>
        </is>
      </c>
      <c r="H2" s="8" t="inlineStr">
        <is>
          <t>A</t>
        </is>
      </c>
      <c r="I2" s="10" t="inlineStr">
        <is>
          <t>不限</t>
        </is>
      </c>
      <c r="J2" s="8" t="inlineStr">
        <is>
          <t>已核实</t>
        </is>
      </c>
      <c r="K2" s="10" t="inlineStr">
        <is>
          <t>https://aaai.org/conference/aaai/aaai-27/</t>
        </is>
      </c>
      <c r="L2" s="10" t="inlineStr">
        <is>
          <t>近年投稿量极大，录取率约 20% 上下；核查:摘要07-21，全文07-28；日程页未写宣讲与远程政策</t>
        </is>
      </c>
    </row>
    <row r="3" ht="28" customHeight="1">
      <c r="A3" s="8" t="n">
        <v>2</v>
      </c>
      <c r="B3" s="9" t="inlineStr">
        <is>
          <t>ACL</t>
        </is>
      </c>
      <c r="C3" s="8" t="inlineStr">
        <is>
          <t>A</t>
        </is>
      </c>
      <c r="D3" s="12" t="inlineStr">
        <is>
          <t>8 页长文 / 4 页短文 + refs</t>
        </is>
      </c>
      <c r="E3" s="8" t="inlineStr">
        <is>
          <t>双盲</t>
        </is>
      </c>
      <c r="F3" s="12" t="inlineStr">
        <is>
          <t>OpenReview</t>
        </is>
      </c>
      <c r="G3" s="8" t="inlineStr">
        <is>
          <t>A*</t>
        </is>
      </c>
      <c r="H3" s="8" t="inlineStr">
        <is>
          <t>A</t>
        </is>
      </c>
      <c r="I3" s="10" t="inlineStr">
        <is>
          <t>不限</t>
        </is>
      </c>
      <c r="J3" s="8" t="inlineStr">
        <is>
          <t>已核实</t>
        </is>
      </c>
      <c r="K3" s="10" t="inlineStr">
        <is>
          <t>https://2027.aclweb.org/calls/main/</t>
        </is>
      </c>
      <c r="L3" s="10" t="inlineStr">
        <is>
          <t>经 ACL Rolling Review 提交，再承诺至会议；核查:须至少一位作者注册并宣讲；录用通知日TBD</t>
        </is>
      </c>
    </row>
    <row r="4" ht="28" customHeight="1">
      <c r="A4" s="8" t="n">
        <v>3</v>
      </c>
      <c r="B4" s="9" t="inlineStr">
        <is>
          <t>CVPR</t>
        </is>
      </c>
      <c r="C4" s="8" t="inlineStr">
        <is>
          <t>A</t>
        </is>
      </c>
      <c r="D4" s="12" t="inlineStr">
        <is>
          <t>8 页 + refs</t>
        </is>
      </c>
      <c r="E4" s="8" t="inlineStr">
        <is>
          <t>双盲</t>
        </is>
      </c>
      <c r="F4" s="12" t="inlineStr">
        <is>
          <t>OpenReview</t>
        </is>
      </c>
      <c r="G4" s="8" t="inlineStr">
        <is>
          <t>A*</t>
        </is>
      </c>
      <c r="H4" s="8" t="inlineStr">
        <is>
          <t>A</t>
        </is>
      </c>
      <c r="I4" s="10" t="inlineStr">
        <is>
          <t>不限</t>
        </is>
      </c>
      <c r="J4" s="8" t="inlineStr">
        <is>
          <t>已核实</t>
        </is>
      </c>
      <c r="K4" s="10" t="inlineStr">
        <is>
          <t>https://cvpr.thecvf.com/Conferences/2027/CallForPapers</t>
        </is>
      </c>
      <c r="L4" s="10" t="inlineStr">
        <is>
          <t>每年 11 月截稿，6 月开会；核查:论文注册11-10；CFP未明写现场宣讲要求</t>
        </is>
      </c>
    </row>
    <row r="5" ht="28" customHeight="1">
      <c r="A5" s="8" t="n">
        <v>4</v>
      </c>
      <c r="B5" s="9" t="inlineStr">
        <is>
          <t>ICCV</t>
        </is>
      </c>
      <c r="C5" s="8" t="inlineStr">
        <is>
          <t>A</t>
        </is>
      </c>
      <c r="D5" s="12" t="inlineStr">
        <is>
          <t>8 页 + refs</t>
        </is>
      </c>
      <c r="E5" s="8" t="inlineStr">
        <is>
          <t>双盲</t>
        </is>
      </c>
      <c r="F5" s="12" t="inlineStr">
        <is>
          <t>OpenReview</t>
        </is>
      </c>
      <c r="G5" s="8" t="inlineStr">
        <is>
          <t>A*</t>
        </is>
      </c>
      <c r="H5" s="8" t="inlineStr">
        <is>
          <t>A</t>
        </is>
      </c>
      <c r="I5" s="10" t="inlineStr">
        <is>
          <t>不限</t>
        </is>
      </c>
      <c r="J5" s="8" t="inlineStr">
        <is>
          <t>2027CFP未发布</t>
        </is>
      </c>
      <c r="K5" s="10" t="inlineStr">
        <is>
          <t>https://iccv.thecvf.com/Conferences/2027</t>
        </is>
      </c>
      <c r="L5" s="10" t="inlineStr">
        <is>
          <t>奇数年举办，2027 届正常召开；核查:官网仅公布时间地点(10/3-7)，CFP未出</t>
        </is>
      </c>
    </row>
    <row r="6" ht="28" customHeight="1">
      <c r="A6" s="8" t="n">
        <v>5</v>
      </c>
      <c r="B6" s="9" t="inlineStr">
        <is>
          <t>ICLR</t>
        </is>
      </c>
      <c r="C6" s="8" t="inlineStr">
        <is>
          <t>A</t>
        </is>
      </c>
      <c r="D6" s="12" t="inlineStr">
        <is>
          <t>9 页正文 + refs/附录</t>
        </is>
      </c>
      <c r="E6" s="8" t="inlineStr">
        <is>
          <t>双盲</t>
        </is>
      </c>
      <c r="F6" s="12" t="inlineStr">
        <is>
          <t>OpenReview</t>
        </is>
      </c>
      <c r="G6" s="8" t="inlineStr">
        <is>
          <t>A*</t>
        </is>
      </c>
      <c r="H6" s="8" t="inlineStr">
        <is>
          <t>A</t>
        </is>
      </c>
      <c r="I6" s="10" t="inlineStr">
        <is>
          <t>20 篇</t>
        </is>
      </c>
      <c r="J6" s="8" t="inlineStr">
        <is>
          <t>已核实</t>
        </is>
      </c>
      <c r="K6" s="10" t="inlineStr">
        <is>
          <t>https://iclr.cc/Conferences/2027/AuthorGuidelines</t>
        </is>
      </c>
      <c r="L6" s="10" t="inlineStr">
        <is>
          <t>评审意见与讨论全程公开；核查:署名≥3篇须审6篇；出席形式未明示</t>
        </is>
      </c>
    </row>
    <row r="7" ht="28" customHeight="1">
      <c r="A7" s="8" t="n">
        <v>6</v>
      </c>
      <c r="B7" s="9" t="inlineStr">
        <is>
          <t>ACM SIGGRAPH</t>
        </is>
      </c>
      <c r="C7" s="8" t="inlineStr">
        <is>
          <t>A</t>
        </is>
      </c>
      <c r="D7" s="12" t="inlineStr">
        <is>
          <t>待确认</t>
        </is>
      </c>
      <c r="E7" s="8" t="inlineStr">
        <is>
          <t>待确认</t>
        </is>
      </c>
      <c r="F7" s="12" t="inlineStr">
        <is>
          <t>官网自建</t>
        </is>
      </c>
      <c r="G7" s="8" t="inlineStr">
        <is>
          <t>A*</t>
        </is>
      </c>
      <c r="H7" s="8" t="inlineStr">
        <is>
          <t>A</t>
        </is>
      </c>
      <c r="I7" s="10" t="inlineStr">
        <is>
          <t>不限</t>
        </is>
      </c>
      <c r="J7" s="8" t="inlineStr">
        <is>
          <t>2027CFP未发布</t>
        </is>
      </c>
      <c r="K7" s="10" t="inlineStr">
        <is>
          <t>https://s2027.siggraph.org/</t>
        </is>
      </c>
      <c r="L7" s="10" t="inlineStr">
        <is>
          <t>分技术论文与 Art Papers 等多轨道；核查:第三方站点称Stage1为2027-01-21，官网未见</t>
        </is>
      </c>
    </row>
    <row r="8" ht="28" customHeight="1">
      <c r="A8" s="8" t="n">
        <v>7</v>
      </c>
      <c r="B8" s="9" t="inlineStr">
        <is>
          <t>IEEE VR</t>
        </is>
      </c>
      <c r="C8" s="8" t="inlineStr">
        <is>
          <t>A</t>
        </is>
      </c>
      <c r="D8" s="12" t="inlineStr">
        <is>
          <t>8 页 + refs</t>
        </is>
      </c>
      <c r="E8" s="8" t="inlineStr">
        <is>
          <t>双盲</t>
        </is>
      </c>
      <c r="F8" s="12" t="inlineStr">
        <is>
          <t>OpenReview</t>
        </is>
      </c>
      <c r="G8" s="8" t="inlineStr">
        <is>
          <t>A*</t>
        </is>
      </c>
      <c r="H8" s="8" t="inlineStr">
        <is>
          <t>A</t>
        </is>
      </c>
      <c r="I8" s="10" t="inlineStr">
        <is>
          <t>不限</t>
        </is>
      </c>
      <c r="J8" s="8" t="inlineStr">
        <is>
          <t>已核实</t>
        </is>
      </c>
      <c r="K8" s="10" t="inlineStr">
        <is>
          <t>https://ieeevr.org/2027/contribute/papers</t>
        </is>
      </c>
      <c r="L8" s="10" t="inlineStr">
        <is>
          <t>期刊轨与会议轨并行，TVCG 出版；核查:截稿已过(2026-08-31)；资深作者须任审稿人</t>
        </is>
      </c>
    </row>
    <row r="9" ht="28" customHeight="1">
      <c r="A9" s="8" t="n">
        <v>8</v>
      </c>
      <c r="B9" s="9" t="inlineStr">
        <is>
          <t>CAV</t>
        </is>
      </c>
      <c r="C9" s="8" t="inlineStr">
        <is>
          <t>A</t>
        </is>
      </c>
      <c r="D9" s="12" t="inlineStr">
        <is>
          <t>待确认</t>
        </is>
      </c>
      <c r="E9" s="8" t="inlineStr">
        <is>
          <t>单盲</t>
        </is>
      </c>
      <c r="F9" s="12" t="inlineStr">
        <is>
          <t>待确认</t>
        </is>
      </c>
      <c r="G9" s="8" t="inlineStr">
        <is>
          <t>A*</t>
        </is>
      </c>
      <c r="H9" s="8" t="inlineStr">
        <is>
          <t>A</t>
        </is>
      </c>
      <c r="I9" s="10" t="inlineStr">
        <is>
          <t>5 篇</t>
        </is>
      </c>
      <c r="J9" s="8" t="inlineStr">
        <is>
          <t>已核实</t>
        </is>
      </c>
      <c r="K9" s="10" t="inlineStr">
        <is>
          <t>https://conferences.i-cav.org/2027/cfp/</t>
        </is>
      </c>
      <c r="L9" s="10" t="inlineStr">
        <is>
          <t>LNCS 出版，另设 artifact 评审；核查:全文2027-01-20；每作者限投5篇（含三类）</t>
        </is>
      </c>
    </row>
    <row r="10" ht="28" customHeight="1">
      <c r="A10" s="8" t="n">
        <v>9</v>
      </c>
      <c r="B10" s="9" t="inlineStr">
        <is>
          <t>LICS</t>
        </is>
      </c>
      <c r="C10" s="8" t="inlineStr">
        <is>
          <t>A</t>
        </is>
      </c>
      <c r="D10" s="12" t="inlineStr">
        <is>
          <t>待确认</t>
        </is>
      </c>
      <c r="E10" s="8" t="inlineStr">
        <is>
          <t>单盲</t>
        </is>
      </c>
      <c r="F10" s="12" t="inlineStr">
        <is>
          <t>待确认</t>
        </is>
      </c>
      <c r="G10" s="8" t="inlineStr">
        <is>
          <t>A*</t>
        </is>
      </c>
      <c r="H10" s="8" t="inlineStr">
        <is>
          <t>A</t>
        </is>
      </c>
      <c r="I10" s="10" t="inlineStr">
        <is>
          <t>不限</t>
        </is>
      </c>
      <c r="J10" s="8" t="inlineStr">
        <is>
          <t>2027CFP未发布</t>
        </is>
      </c>
      <c r="K10" s="10" t="inlineStr">
        <is>
          <t>https://lics.siglog.org/lics27/</t>
        </is>
      </c>
      <c r="L10" s="10" t="inlineStr">
        <is>
          <t>常与 ICALP 等逻辑类会议联办；核查:官网仅占位页，注明信息稍后公布</t>
        </is>
      </c>
    </row>
    <row r="11" ht="28" customHeight="1">
      <c r="A11" s="8" t="n">
        <v>10</v>
      </c>
      <c r="B11" s="9" t="inlineStr">
        <is>
          <t>SODA</t>
        </is>
      </c>
      <c r="C11" s="8" t="inlineStr">
        <is>
          <t>A</t>
        </is>
      </c>
      <c r="D11" s="12" t="inlineStr">
        <is>
          <t>待确认</t>
        </is>
      </c>
      <c r="E11" s="8" t="inlineStr">
        <is>
          <t>单盲</t>
        </is>
      </c>
      <c r="F11" s="12" t="inlineStr">
        <is>
          <t>EasyChair</t>
        </is>
      </c>
      <c r="G11" s="8" t="inlineStr">
        <is>
          <t>A*</t>
        </is>
      </c>
      <c r="H11" s="8" t="inlineStr">
        <is>
          <t>A</t>
        </is>
      </c>
      <c r="I11" s="10" t="inlineStr">
        <is>
          <t>不限</t>
        </is>
      </c>
      <c r="J11" s="8" t="inlineStr">
        <is>
          <t>已核实</t>
        </is>
      </c>
      <c r="K11" s="10" t="inlineStr">
        <is>
          <t>https://www.siam.org/conferences-events/siam-conferences/soda27/submissions/</t>
        </is>
      </c>
      <c r="L11" s="10" t="inlineStr">
        <is>
          <t>与 ALENEX/ANALCO 同期同地举办；核查:录用通知仅写2026年10月，无具体日</t>
        </is>
      </c>
    </row>
    <row r="12" ht="28" customHeight="1">
      <c r="A12" s="8" t="n">
        <v>11</v>
      </c>
      <c r="B12" s="9" t="inlineStr">
        <is>
          <t>STOC</t>
        </is>
      </c>
      <c r="C12" s="8" t="inlineStr">
        <is>
          <t>A</t>
        </is>
      </c>
      <c r="D12" s="12" t="inlineStr">
        <is>
          <t>待确认</t>
        </is>
      </c>
      <c r="E12" s="8" t="inlineStr">
        <is>
          <t>单盲</t>
        </is>
      </c>
      <c r="F12" s="12" t="inlineStr">
        <is>
          <t>待确认</t>
        </is>
      </c>
      <c r="G12" s="8" t="inlineStr">
        <is>
          <t>A*</t>
        </is>
      </c>
      <c r="H12" s="8" t="inlineStr">
        <is>
          <t>A</t>
        </is>
      </c>
      <c r="I12" s="10" t="inlineStr">
        <is>
          <t>5 篇</t>
        </is>
      </c>
      <c r="J12" s="8" t="inlineStr">
        <is>
          <t>已核实</t>
        </is>
      </c>
      <c r="K12" s="10" t="inlineStr">
        <is>
          <t>https://acm-stoc.org/stoc2027/stoc2027-cfp.html</t>
        </is>
      </c>
      <c r="L12" s="10" t="inlineStr">
        <is>
          <t>与 FOCS 并列为理论两大顶会；核查:强制公开发布投稿并提交20-30分钟视频</t>
        </is>
      </c>
    </row>
    <row r="13" ht="28" customHeight="1">
      <c r="A13" s="8" t="n">
        <v>12</v>
      </c>
      <c r="B13" s="9" t="inlineStr">
        <is>
          <t>ICDE</t>
        </is>
      </c>
      <c r="C13" s="8" t="inlineStr">
        <is>
          <t>A</t>
        </is>
      </c>
      <c r="D13" s="12" t="inlineStr">
        <is>
          <t>6 页 + refs</t>
        </is>
      </c>
      <c r="E13" s="8" t="inlineStr">
        <is>
          <t>待确认</t>
        </is>
      </c>
      <c r="F13" s="12" t="inlineStr">
        <is>
          <t>待确认</t>
        </is>
      </c>
      <c r="G13" s="8" t="inlineStr">
        <is>
          <t>A*</t>
        </is>
      </c>
      <c r="H13" s="8" t="inlineStr">
        <is>
          <t>A</t>
        </is>
      </c>
      <c r="I13" s="10" t="inlineStr">
        <is>
          <t>不限</t>
        </is>
      </c>
      <c r="J13" s="8" t="inlineStr">
        <is>
          <t>已核实</t>
        </is>
      </c>
      <c r="K13" s="10" t="inlineStr">
        <is>
          <t>https://icde2027.github.io/important-dates.html</t>
        </is>
      </c>
      <c r="L13" s="10" t="inlineStr">
        <is>
          <t>IEEE 主办，分研究轨与工业轨；核查:研究主会两轮，第一轮2026-06-11已截；全部轮次 first round:2026-06-12 / second round:2026-11-12</t>
        </is>
      </c>
    </row>
    <row r="14" ht="28" customHeight="1">
      <c r="A14" s="8" t="n">
        <v>13</v>
      </c>
      <c r="B14" s="9" t="inlineStr">
        <is>
          <t>SIGIR</t>
        </is>
      </c>
      <c r="C14" s="8" t="inlineStr">
        <is>
          <t>A</t>
        </is>
      </c>
      <c r="D14" s="12" t="inlineStr">
        <is>
          <t>9 页 + refs</t>
        </is>
      </c>
      <c r="E14" s="8" t="inlineStr">
        <is>
          <t>双盲</t>
        </is>
      </c>
      <c r="F14" s="12" t="inlineStr">
        <is>
          <t>OpenReview</t>
        </is>
      </c>
      <c r="G14" s="8" t="inlineStr">
        <is>
          <t>A*</t>
        </is>
      </c>
      <c r="H14" s="8" t="inlineStr">
        <is>
          <t>A</t>
        </is>
      </c>
      <c r="I14" s="10" t="inlineStr">
        <is>
          <t>不限</t>
        </is>
      </c>
      <c r="J14" s="8" t="inlineStr">
        <is>
          <t>已核实</t>
        </is>
      </c>
      <c r="K14" s="10" t="inlineStr">
        <is>
          <t>https://sigir2027.org/</t>
        </is>
      </c>
      <c r="L14" s="10" t="inlineStr">
        <is>
          <t>设 Resource、Demo、Industry 等子轨道；核查:摘要2027-01-14；短论文等日期标TBA</t>
        </is>
      </c>
    </row>
    <row r="15" ht="28" customHeight="1">
      <c r="A15" s="8" t="n">
        <v>14</v>
      </c>
      <c r="B15" s="9" t="inlineStr">
        <is>
          <t>SIGKDD</t>
        </is>
      </c>
      <c r="C15" s="8" t="inlineStr">
        <is>
          <t>A</t>
        </is>
      </c>
      <c r="D15" s="12" t="inlineStr">
        <is>
          <t>9 页 + refs</t>
        </is>
      </c>
      <c r="E15" s="8" t="inlineStr">
        <is>
          <t>双盲</t>
        </is>
      </c>
      <c r="F15" s="12" t="inlineStr">
        <is>
          <t>CMT</t>
        </is>
      </c>
      <c r="G15" s="8" t="inlineStr">
        <is>
          <t>A*</t>
        </is>
      </c>
      <c r="H15" s="8" t="inlineStr">
        <is>
          <t>A</t>
        </is>
      </c>
      <c r="I15" s="10" t="inlineStr">
        <is>
          <t>7 篇</t>
        </is>
      </c>
      <c r="J15" s="8" t="inlineStr">
        <is>
          <t>已核实</t>
        </is>
      </c>
      <c r="K15" s="10" t="inlineStr">
        <is>
          <t>https://kdd2027.kdd.org/research-track-call-for-papers/</t>
        </is>
      </c>
      <c r="L15" s="10" t="inlineStr">
        <is>
          <t>研究轨与 Applied Data Science 轨分开投；核查:第一轮；每轮每作者最多7篇，第二轮日期未公布</t>
        </is>
      </c>
    </row>
    <row r="16" ht="28" customHeight="1">
      <c r="A16" s="8" t="n">
        <v>15</v>
      </c>
      <c r="B16" s="9" t="inlineStr">
        <is>
          <t>SIGMOD</t>
        </is>
      </c>
      <c r="C16" s="8" t="inlineStr">
        <is>
          <t>A</t>
        </is>
      </c>
      <c r="D16" s="12" t="inlineStr">
        <is>
          <t>12 页 + refs</t>
        </is>
      </c>
      <c r="E16" s="8" t="inlineStr">
        <is>
          <t>双盲</t>
        </is>
      </c>
      <c r="F16" s="12" t="inlineStr">
        <is>
          <t>待确认</t>
        </is>
      </c>
      <c r="G16" s="8" t="inlineStr">
        <is>
          <t>A*</t>
        </is>
      </c>
      <c r="H16" s="8" t="inlineStr">
        <is>
          <t>A</t>
        </is>
      </c>
      <c r="I16" s="10" t="inlineStr">
        <is>
          <t>10 篇</t>
        </is>
      </c>
      <c r="J16" s="8" t="inlineStr">
        <is>
          <t>已核实</t>
        </is>
      </c>
      <c r="K16" s="10" t="inlineStr">
        <is>
          <t>https://2027.sigmod.org/calls_papers_important_dates.shtml</t>
        </is>
      </c>
      <c r="L16" s="10" t="inlineStr">
        <is>
          <t>一年两轮投稿，PACMMOD 出版；核查:四轮截稿，取末轮R4；终审通知2027-03-12；全部轮次 round 1:2026-01-18 / round 2:2026-04-18 / round 3:2026-07-18 / round 4:2026-10-18</t>
        </is>
      </c>
    </row>
    <row r="17" ht="28" customHeight="1">
      <c r="A17" s="8" t="n">
        <v>16</v>
      </c>
      <c r="B17" s="9" t="inlineStr">
        <is>
          <t>VLDB</t>
        </is>
      </c>
      <c r="C17" s="8" t="inlineStr">
        <is>
          <t>A</t>
        </is>
      </c>
      <c r="D17" s="12" t="inlineStr">
        <is>
          <t>12 页 + refs</t>
        </is>
      </c>
      <c r="E17" s="8" t="inlineStr">
        <is>
          <t>单盲</t>
        </is>
      </c>
      <c r="F17" s="12" t="inlineStr">
        <is>
          <t>CMT</t>
        </is>
      </c>
      <c r="G17" s="8" t="inlineStr">
        <is>
          <t>A*</t>
        </is>
      </c>
      <c r="H17" s="8" t="inlineStr">
        <is>
          <t>A</t>
        </is>
      </c>
      <c r="I17" s="10" t="inlineStr">
        <is>
          <t>每月2篇/全年12篇</t>
        </is>
      </c>
      <c r="J17" s="8" t="inlineStr">
        <is>
          <t>已核实</t>
        </is>
      </c>
      <c r="K17" s="10" t="inlineStr">
        <is>
          <t>https://vldb.org/pvldb/volumes/20/submission</t>
        </is>
      </c>
      <c r="L17" s="10" t="inlineStr">
        <is>
          <t>按月滚动投稿，PVLDB 出版；核查:每月1日滚动截稿，此处取最终截稿日；全部轮次 轮:2026-04-02 / 轮:2026-05-02 / 轮:2026-06-02 / 轮:2026-07-02 / 轮:2026-08-02 / 轮:2026-09-02 / 轮:2026-10-02 / 轮:2026-11-02 / 轮:2026-12-02 / 轮:2027-01-02 / 轮:2027-02-02 / 轮:2027-03-02</t>
        </is>
      </c>
    </row>
    <row r="18" ht="28" customHeight="1">
      <c r="A18" s="8" t="n">
        <v>17</v>
      </c>
      <c r="B18" s="9" t="inlineStr">
        <is>
          <t>ASPLOS</t>
        </is>
      </c>
      <c r="C18" s="8" t="inlineStr">
        <is>
          <t>A</t>
        </is>
      </c>
      <c r="D18" s="12" t="inlineStr">
        <is>
          <t>11 页 + refs</t>
        </is>
      </c>
      <c r="E18" s="8" t="inlineStr">
        <is>
          <t>双盲</t>
        </is>
      </c>
      <c r="F18" s="12" t="inlineStr">
        <is>
          <t>HotCRP</t>
        </is>
      </c>
      <c r="G18" s="8" t="inlineStr">
        <is>
          <t>A*</t>
        </is>
      </c>
      <c r="H18" s="8" t="inlineStr">
        <is>
          <t>A</t>
        </is>
      </c>
      <c r="I18" s="10" t="inlineStr">
        <is>
          <t>4 篇</t>
        </is>
      </c>
      <c r="J18" s="8" t="inlineStr">
        <is>
          <t>已核实</t>
        </is>
      </c>
      <c r="K18" s="10" t="inlineStr">
        <is>
          <t>https://www.asplos-conference.org/asplos2027/cfp/</t>
        </is>
      </c>
      <c r="L18" s="10" t="inlineStr">
        <is>
          <t>一年两轮截稿，ACM 出版；核查:两轮截稿(4/15、9/9)，此处取九月周期；全部轮次 April Cycle Submission Deadline:2026-04-16 / September Cycle Submission Deadline:2026-09-10</t>
        </is>
      </c>
    </row>
    <row r="19" ht="28" customHeight="1">
      <c r="A19" s="8" t="n">
        <v>18</v>
      </c>
      <c r="B19" s="9" t="inlineStr">
        <is>
          <t>DAC</t>
        </is>
      </c>
      <c r="C19" s="8" t="inlineStr">
        <is>
          <t>A</t>
        </is>
      </c>
      <c r="D19" s="12" t="inlineStr">
        <is>
          <t>6 页 + refs</t>
        </is>
      </c>
      <c r="E19" s="8" t="inlineStr">
        <is>
          <t>待确认</t>
        </is>
      </c>
      <c r="F19" s="12" t="inlineStr">
        <is>
          <t>CMT</t>
        </is>
      </c>
      <c r="G19" s="8" t="inlineStr">
        <is>
          <t>A*</t>
        </is>
      </c>
      <c r="H19" s="8" t="inlineStr">
        <is>
          <t>A</t>
        </is>
      </c>
      <c r="I19" s="10" t="inlineStr">
        <is>
          <t>不限</t>
        </is>
      </c>
      <c r="J19" s="8" t="inlineStr">
        <is>
          <t>已核实</t>
        </is>
      </c>
      <c r="K19" s="10" t="inlineStr">
        <is>
          <t>https://dac.com/2027/program/research-manuscript-submissions</t>
        </is>
      </c>
      <c r="L19" s="10" t="inlineStr">
        <is>
          <t>工业界参与度高，有设计竞赛与展览；核查:摘要2026-11-11；须注册并现场海报报告</t>
        </is>
      </c>
    </row>
    <row r="20" ht="28" customHeight="1">
      <c r="A20" s="8" t="n">
        <v>19</v>
      </c>
      <c r="B20" s="9" t="inlineStr">
        <is>
          <t>EuroSys</t>
        </is>
      </c>
      <c r="C20" s="8" t="inlineStr">
        <is>
          <t>A</t>
        </is>
      </c>
      <c r="D20" s="12" t="inlineStr">
        <is>
          <t>12 页 + refs</t>
        </is>
      </c>
      <c r="E20" s="8" t="inlineStr">
        <is>
          <t>双盲</t>
        </is>
      </c>
      <c r="F20" s="12" t="inlineStr">
        <is>
          <t>HotCRP</t>
        </is>
      </c>
      <c r="G20" s="8" t="inlineStr">
        <is>
          <t>A</t>
        </is>
      </c>
      <c r="H20" s="8" t="inlineStr">
        <is>
          <t>A</t>
        </is>
      </c>
      <c r="I20" s="10" t="inlineStr">
        <is>
          <t>3 篇</t>
        </is>
      </c>
      <c r="J20" s="8" t="inlineStr">
        <is>
          <t>已核实</t>
        </is>
      </c>
      <c r="K20" s="10" t="inlineStr">
        <is>
          <t>https://2027.eurosys.org/cfp.html</t>
        </is>
      </c>
      <c r="L20" s="10" t="inlineStr">
        <is>
          <t>看重可复现性，鼓励 artifact 提交；核查:春秋两轮，取秋季轮；每篇需一份全费注册；全部轮次 Spring Submission Deadline:2026-05-15 / Fall Submission Deadline:2026-09-25</t>
        </is>
      </c>
    </row>
    <row r="21" ht="28" customHeight="1">
      <c r="A21" s="8" t="n">
        <v>20</v>
      </c>
      <c r="B21" s="9" t="inlineStr">
        <is>
          <t>FAST</t>
        </is>
      </c>
      <c r="C21" s="8" t="inlineStr">
        <is>
          <t>A</t>
        </is>
      </c>
      <c r="D21" s="12" t="inlineStr">
        <is>
          <t>12 页 + refs</t>
        </is>
      </c>
      <c r="E21" s="8" t="inlineStr">
        <is>
          <t>单盲</t>
        </is>
      </c>
      <c r="F21" s="12" t="inlineStr">
        <is>
          <t>HotCRP</t>
        </is>
      </c>
      <c r="G21" s="8" t="inlineStr">
        <is>
          <t>A</t>
        </is>
      </c>
      <c r="H21" s="8" t="inlineStr">
        <is>
          <t>A</t>
        </is>
      </c>
      <c r="I21" s="10" t="inlineStr">
        <is>
          <t>不限</t>
        </is>
      </c>
      <c r="J21" s="8" t="inlineStr">
        <is>
          <t>已核实</t>
        </is>
      </c>
      <c r="K21" s="10" t="inlineStr">
        <is>
          <t>https://www.usenix.org/conference/fast27/call-for-papers</t>
        </is>
      </c>
      <c r="L21" s="10" t="inlineStr">
        <is>
          <t>USENIX 体系，录用后需提交 artifact；核查:春秋两轮，取秋季轮；无独立摘要截稿；全部轮次 Spring deadline:2026-03-18 / Fall deadline:2026-09-16</t>
        </is>
      </c>
    </row>
    <row r="22" ht="28" customHeight="1">
      <c r="A22" s="8" t="n">
        <v>21</v>
      </c>
      <c r="B22" s="9" t="inlineStr">
        <is>
          <t>HPCA</t>
        </is>
      </c>
      <c r="C22" s="8" t="inlineStr">
        <is>
          <t>A</t>
        </is>
      </c>
      <c r="D22" s="12" t="inlineStr">
        <is>
          <t>11 页含 refs</t>
        </is>
      </c>
      <c r="E22" s="8" t="inlineStr">
        <is>
          <t>双盲</t>
        </is>
      </c>
      <c r="F22" s="12" t="inlineStr">
        <is>
          <t>待确认</t>
        </is>
      </c>
      <c r="G22" s="8" t="inlineStr">
        <is>
          <t>A*</t>
        </is>
      </c>
      <c r="H22" s="8" t="inlineStr">
        <is>
          <t>A</t>
        </is>
      </c>
      <c r="I22" s="10" t="inlineStr">
        <is>
          <t>不限</t>
        </is>
      </c>
      <c r="J22" s="8" t="inlineStr">
        <is>
          <t>已核实</t>
        </is>
      </c>
      <c r="K22" s="10" t="inlineStr">
        <is>
          <t>https://sigarch.org/call-contributions/hpca-2027</t>
        </is>
      </c>
      <c r="L22" s="10" t="inlineStr">
        <is>
          <t>与 ISCA、MICRO 合称体系结构三大会；核查:官网track页404，读SIGARCH官方CFP</t>
        </is>
      </c>
    </row>
    <row r="23" ht="28" customHeight="1">
      <c r="A23" s="8" t="n">
        <v>22</v>
      </c>
      <c r="B23" s="9" t="inlineStr">
        <is>
          <t>ISCA</t>
        </is>
      </c>
      <c r="C23" s="8" t="inlineStr">
        <is>
          <t>A</t>
        </is>
      </c>
      <c r="D23" s="12" t="inlineStr">
        <is>
          <t>11 页 + refs</t>
        </is>
      </c>
      <c r="E23" s="8" t="inlineStr">
        <is>
          <t>双盲</t>
        </is>
      </c>
      <c r="F23" s="12" t="inlineStr">
        <is>
          <t>HotCRP</t>
        </is>
      </c>
      <c r="G23" s="8" t="inlineStr">
        <is>
          <t>A*</t>
        </is>
      </c>
      <c r="H23" s="8" t="inlineStr">
        <is>
          <t>A</t>
        </is>
      </c>
      <c r="I23" s="10" t="inlineStr">
        <is>
          <t>8 篇</t>
        </is>
      </c>
      <c r="J23" s="8" t="inlineStr">
        <is>
          <t>已核实</t>
        </is>
      </c>
      <c r="K23" s="10" t="inlineStr">
        <is>
          <t>https://iscaconf.org/isca2027/submit/callforpapers.php</t>
        </is>
      </c>
      <c r="L23" s="10" t="inlineStr">
        <is>
          <t>有 rebuttal 与作者答复环节；核查:摘要2026-11-09截止；CFP未写现场报告要求</t>
        </is>
      </c>
    </row>
    <row r="24" ht="28" customHeight="1">
      <c r="A24" s="8" t="n">
        <v>23</v>
      </c>
      <c r="B24" s="9" t="inlineStr">
        <is>
          <t>PPoPP</t>
        </is>
      </c>
      <c r="C24" s="8" t="inlineStr">
        <is>
          <t>A</t>
        </is>
      </c>
      <c r="D24" s="12" t="inlineStr">
        <is>
          <t>11 页 + refs</t>
        </is>
      </c>
      <c r="E24" s="8" t="inlineStr">
        <is>
          <t>双盲</t>
        </is>
      </c>
      <c r="F24" s="12" t="inlineStr">
        <is>
          <t>HotCRP</t>
        </is>
      </c>
      <c r="G24" s="8" t="inlineStr">
        <is>
          <t>B</t>
        </is>
      </c>
      <c r="H24" s="8" t="inlineStr">
        <is>
          <t>A</t>
        </is>
      </c>
      <c r="I24" s="10" t="inlineStr">
        <is>
          <t>不限</t>
        </is>
      </c>
      <c r="J24" s="8" t="inlineStr">
        <is>
          <t>已核实</t>
        </is>
      </c>
      <c r="K24" s="10" t="inlineStr">
        <is>
          <t>https://conf.researchr.org/dates/hpca-cgo-ppopp-cc-2027</t>
        </is>
      </c>
      <c r="L24" s="10" t="inlineStr">
        <is>
          <t>与 PPoPP 同期常有 CGO/HPCA 等联办；核查:通知日2026-10-26临近；官网首页未列日期</t>
        </is>
      </c>
    </row>
    <row r="25" ht="28" customHeight="1">
      <c r="A25" s="8" t="n">
        <v>24</v>
      </c>
      <c r="B25" s="9" t="inlineStr">
        <is>
          <t>CHI</t>
        </is>
      </c>
      <c r="C25" s="8" t="inlineStr">
        <is>
          <t>A</t>
        </is>
      </c>
      <c r="D25" s="12" t="inlineStr">
        <is>
          <t>无硬性页数限制</t>
        </is>
      </c>
      <c r="E25" s="8" t="inlineStr">
        <is>
          <t>双盲</t>
        </is>
      </c>
      <c r="F25" s="12" t="inlineStr">
        <is>
          <t>待确认</t>
        </is>
      </c>
      <c r="G25" s="8" t="inlineStr">
        <is>
          <t>A*</t>
        </is>
      </c>
      <c r="H25" s="8" t="inlineStr">
        <is>
          <t>A</t>
        </is>
      </c>
      <c r="I25" s="10" t="inlineStr">
        <is>
          <t>不限</t>
        </is>
      </c>
      <c r="J25" s="8" t="inlineStr">
        <is>
          <t>已核实</t>
        </is>
      </c>
      <c r="K25" s="10" t="inlineStr">
        <is>
          <t>https://chi2027.acm.org/authors/papers/</t>
        </is>
      </c>
      <c r="L25" s="10" t="inlineStr">
        <is>
          <t>投稿系统为 PCS，非常见四类系统；核查:至少一位作者须2027-03-04前注册</t>
        </is>
      </c>
    </row>
    <row r="26" ht="28" customHeight="1">
      <c r="A26" s="8" t="n">
        <v>25</v>
      </c>
      <c r="B26" s="9" t="inlineStr">
        <is>
          <t>UbiComp/ISWC</t>
        </is>
      </c>
      <c r="C26" s="8" t="inlineStr">
        <is>
          <t>A</t>
        </is>
      </c>
      <c r="D26" s="12" t="inlineStr">
        <is>
          <t>待确认</t>
        </is>
      </c>
      <c r="E26" s="8" t="inlineStr">
        <is>
          <t>待确认</t>
        </is>
      </c>
      <c r="F26" s="12" t="inlineStr">
        <is>
          <t>待确认</t>
        </is>
      </c>
      <c r="G26" s="8" t="inlineStr">
        <is>
          <t>N</t>
        </is>
      </c>
      <c r="H26" s="8" t="inlineStr">
        <is>
          <t>A</t>
        </is>
      </c>
      <c r="I26" s="10" t="inlineStr">
        <is>
          <t>不限</t>
        </is>
      </c>
      <c r="J26" s="8" t="inlineStr">
        <is>
          <t>2027CFP未发布</t>
        </is>
      </c>
      <c r="K26" s="10" t="inlineStr">
        <is>
          <t>https://sigchi.org/events/ubicomp-2027/</t>
        </is>
      </c>
      <c r="L26" s="10" t="inlineStr">
        <is>
          <t>论文经 PACM IMWUT 期刊通道录用；核查:官网仅公布会期2027-10-03至10-07，无CFP</t>
        </is>
      </c>
    </row>
    <row r="27" ht="28" customHeight="1">
      <c r="A27" s="8" t="n">
        <v>26</v>
      </c>
      <c r="B27" s="9" t="inlineStr">
        <is>
          <t>WWW</t>
        </is>
      </c>
      <c r="C27" s="8" t="inlineStr">
        <is>
          <t>A</t>
        </is>
      </c>
      <c r="D27" s="12" t="inlineStr">
        <is>
          <t>8 页 + refs</t>
        </is>
      </c>
      <c r="E27" s="8" t="inlineStr">
        <is>
          <t>双盲</t>
        </is>
      </c>
      <c r="F27" s="12" t="inlineStr">
        <is>
          <t>OpenReview</t>
        </is>
      </c>
      <c r="G27" s="8" t="inlineStr">
        <is>
          <t>A*</t>
        </is>
      </c>
      <c r="H27" s="8" t="inlineStr">
        <is>
          <t>A</t>
        </is>
      </c>
      <c r="I27" s="10" t="inlineStr">
        <is>
          <t>7 篇</t>
        </is>
      </c>
      <c r="J27" s="8" t="inlineStr">
        <is>
          <t>已核实</t>
        </is>
      </c>
      <c r="K27" s="10" t="inlineStr">
        <is>
          <t>https://www2027.thewebconf.org/research-track-papers/</t>
        </is>
      </c>
      <c r="L27" s="10" t="inlineStr">
        <is>
          <t>分 research/industry 多个 track；核查:摘要2026-10-18；每类投稿每人限7篇</t>
        </is>
      </c>
    </row>
    <row r="28" ht="28" customHeight="1">
      <c r="A28" s="8" t="n">
        <v>27</v>
      </c>
      <c r="B28" s="9" t="inlineStr">
        <is>
          <t>INFOCOM</t>
        </is>
      </c>
      <c r="C28" s="8" t="inlineStr">
        <is>
          <t>A</t>
        </is>
      </c>
      <c r="D28" s="12" t="inlineStr">
        <is>
          <t>9 页（第 10 页仅 refs）</t>
        </is>
      </c>
      <c r="E28" s="8" t="inlineStr">
        <is>
          <t>双盲</t>
        </is>
      </c>
      <c r="F28" s="12" t="inlineStr">
        <is>
          <t>待确认</t>
        </is>
      </c>
      <c r="G28" s="8" t="inlineStr">
        <is>
          <t>A*</t>
        </is>
      </c>
      <c r="H28" s="8" t="inlineStr">
        <is>
          <t>A</t>
        </is>
      </c>
      <c r="I28" s="10" t="inlineStr">
        <is>
          <t>不限</t>
        </is>
      </c>
      <c r="J28" s="8" t="inlineStr">
        <is>
          <t>已核实</t>
        </is>
      </c>
      <c r="K28" s="10" t="inlineStr">
        <is>
          <t>https://infocom2027.ieee-infocom.org/authors</t>
        </is>
      </c>
      <c r="L28" s="10" t="inlineStr">
        <is>
          <t>使用 EDAS 投稿，分主会与 workshop；核查:摘要2026-07-24；早期拒稿通知2026-10-09</t>
        </is>
      </c>
    </row>
    <row r="29" ht="28" customHeight="1">
      <c r="A29" s="8" t="n">
        <v>28</v>
      </c>
      <c r="B29" s="9" t="inlineStr">
        <is>
          <t>MobiCom</t>
        </is>
      </c>
      <c r="C29" s="8" t="inlineStr">
        <is>
          <t>A</t>
        </is>
      </c>
      <c r="D29" s="12" t="inlineStr">
        <is>
          <t>12 页 + refs</t>
        </is>
      </c>
      <c r="E29" s="8" t="inlineStr">
        <is>
          <t>双盲</t>
        </is>
      </c>
      <c r="F29" s="12" t="inlineStr">
        <is>
          <t>HotCRP</t>
        </is>
      </c>
      <c r="G29" s="8" t="inlineStr">
        <is>
          <t>A*</t>
        </is>
      </c>
      <c r="H29" s="8" t="inlineStr">
        <is>
          <t>A</t>
        </is>
      </c>
      <c r="I29" s="10" t="inlineStr">
        <is>
          <t>不限</t>
        </is>
      </c>
      <c r="J29" s="8" t="inlineStr">
        <is>
          <t>已核实</t>
        </is>
      </c>
      <c r="K29" s="10" t="inlineStr">
        <is>
          <t>https://www.sigmobile.org/mobicom/2027/</t>
        </is>
      </c>
      <c r="L29" s="10" t="inlineStr">
        <is>
          <t>举办地 TBD，一年一轮投稿；核查:夏季批次；摘要2026-08-26，冬季批次未定</t>
        </is>
      </c>
    </row>
    <row r="30" ht="28" customHeight="1">
      <c r="A30" s="8" t="n">
        <v>29</v>
      </c>
      <c r="B30" s="9" t="inlineStr">
        <is>
          <t>NSDI</t>
        </is>
      </c>
      <c r="C30" s="8" t="inlineStr">
        <is>
          <t>A</t>
        </is>
      </c>
      <c r="D30" s="12" t="inlineStr">
        <is>
          <t>12 页 + refs</t>
        </is>
      </c>
      <c r="E30" s="8" t="inlineStr">
        <is>
          <t>单盲</t>
        </is>
      </c>
      <c r="F30" s="12" t="inlineStr">
        <is>
          <t>HotCRP</t>
        </is>
      </c>
      <c r="G30" s="8" t="inlineStr">
        <is>
          <t>N</t>
        </is>
      </c>
      <c r="H30" s="8" t="inlineStr">
        <is>
          <t>A</t>
        </is>
      </c>
      <c r="I30" s="10" t="inlineStr">
        <is>
          <t>8 篇</t>
        </is>
      </c>
      <c r="J30" s="8" t="inlineStr">
        <is>
          <t>已核实</t>
        </is>
      </c>
      <c r="K30" s="10" t="inlineStr">
        <is>
          <t>https://www.usenix.org/conference/nsdi27/call-for-papers</t>
        </is>
      </c>
      <c r="L30" s="10" t="inlineStr">
        <is>
          <t>春秋两轮投稿；核查:两轮制，秋季轮全文9/17；须全价注册现场报告；全部轮次 轮:2026-04-24 / 轮:2026-09-18</t>
        </is>
      </c>
    </row>
    <row r="31" ht="28" customHeight="1">
      <c r="A31" s="8" t="n">
        <v>30</v>
      </c>
      <c r="B31" s="9" t="inlineStr">
        <is>
          <t>SIGCOMM</t>
        </is>
      </c>
      <c r="C31" s="8" t="inlineStr">
        <is>
          <t>A</t>
        </is>
      </c>
      <c r="D31" s="12" t="inlineStr">
        <is>
          <t>12 页 + refs</t>
        </is>
      </c>
      <c r="E31" s="8" t="inlineStr">
        <is>
          <t>双盲</t>
        </is>
      </c>
      <c r="F31" s="12" t="inlineStr">
        <is>
          <t>HotCRP</t>
        </is>
      </c>
      <c r="G31" s="8" t="inlineStr">
        <is>
          <t>A*</t>
        </is>
      </c>
      <c r="H31" s="8" t="inlineStr">
        <is>
          <t>A</t>
        </is>
      </c>
      <c r="I31" s="10" t="inlineStr">
        <is>
          <t>8 篇</t>
        </is>
      </c>
      <c r="J31" s="8" t="inlineStr">
        <is>
          <t>已核实</t>
        </is>
      </c>
      <c r="K31" s="10" t="inlineStr">
        <is>
          <t>https://conferences.sigcomm.org/sigcomm/2027/cfp/</t>
        </is>
      </c>
      <c r="L31" s="10" t="inlineStr">
        <is>
          <t>分两个投稿轮次，重 artifact 评估；核查:单轮；未公布录用通知日；无 rebuttal</t>
        </is>
      </c>
    </row>
    <row r="32" ht="28" customHeight="1">
      <c r="A32" s="8" t="n">
        <v>31</v>
      </c>
      <c r="B32" s="9" t="inlineStr">
        <is>
          <t>CCS</t>
        </is>
      </c>
      <c r="C32" s="8" t="inlineStr">
        <is>
          <t>A</t>
        </is>
      </c>
      <c r="D32" s="12" t="inlineStr">
        <is>
          <t>12 页 + refs</t>
        </is>
      </c>
      <c r="E32" s="8" t="inlineStr">
        <is>
          <t>双盲</t>
        </is>
      </c>
      <c r="F32" s="12" t="inlineStr">
        <is>
          <t>HotCRP</t>
        </is>
      </c>
      <c r="G32" s="8" t="inlineStr">
        <is>
          <t>A*</t>
        </is>
      </c>
      <c r="H32" s="8" t="inlineStr">
        <is>
          <t>A</t>
        </is>
      </c>
      <c r="I32" s="10" t="inlineStr">
        <is>
          <t>不限</t>
        </is>
      </c>
      <c r="J32" s="8" t="inlineStr">
        <is>
          <t>2027CFP未发布</t>
        </is>
      </c>
      <c r="K32" s="10" t="inlineStr">
        <is>
          <t>https://www.sigsac.org/ccs/CCS2027/</t>
        </is>
      </c>
      <c r="L32" s="10" t="inlineStr">
        <is>
          <t>两轮评审制，投稿量大；核查:官网仅有会期地点，无 CFP 内容</t>
        </is>
      </c>
    </row>
    <row r="33" ht="28" customHeight="1">
      <c r="A33" s="8" t="n">
        <v>32</v>
      </c>
      <c r="B33" s="9" t="inlineStr">
        <is>
          <t>EUROCRYPT</t>
        </is>
      </c>
      <c r="C33" s="8" t="inlineStr">
        <is>
          <t>A</t>
        </is>
      </c>
      <c r="D33" s="12" t="inlineStr">
        <is>
          <t>待确认</t>
        </is>
      </c>
      <c r="E33" s="8" t="inlineStr">
        <is>
          <t>双盲</t>
        </is>
      </c>
      <c r="F33" s="12" t="inlineStr">
        <is>
          <t>官网自建</t>
        </is>
      </c>
      <c r="G33" s="8" t="inlineStr">
        <is>
          <t>A*</t>
        </is>
      </c>
      <c r="H33" s="8" t="inlineStr">
        <is>
          <t>A</t>
        </is>
      </c>
      <c r="I33" s="10" t="inlineStr">
        <is>
          <t>不限</t>
        </is>
      </c>
      <c r="J33" s="8" t="inlineStr">
        <is>
          <t>已核实</t>
        </is>
      </c>
      <c r="K33" s="10" t="inlineStr">
        <is>
          <t>https://eurocrypt.iacr.org/2027/papersubmission.php</t>
        </is>
      </c>
      <c r="L33" s="10" t="inlineStr">
        <is>
          <t>IACR 旗下，用 IACR 投稿服务器；核查:须由作者之一现场报告；论文录制</t>
        </is>
      </c>
    </row>
    <row r="34" ht="28" customHeight="1">
      <c r="A34" s="8" t="n">
        <v>33</v>
      </c>
      <c r="B34" s="9" t="inlineStr">
        <is>
          <t>NDSS</t>
        </is>
      </c>
      <c r="C34" s="8" t="inlineStr">
        <is>
          <t>A</t>
        </is>
      </c>
      <c r="D34" s="12" t="inlineStr">
        <is>
          <t>待确认</t>
        </is>
      </c>
      <c r="E34" s="8" t="inlineStr">
        <is>
          <t>双盲</t>
        </is>
      </c>
      <c r="F34" s="12" t="inlineStr">
        <is>
          <t>待确认</t>
        </is>
      </c>
      <c r="G34" s="8" t="inlineStr">
        <is>
          <t>A*</t>
        </is>
      </c>
      <c r="H34" s="8" t="inlineStr">
        <is>
          <t>A</t>
        </is>
      </c>
      <c r="I34" s="10" t="inlineStr">
        <is>
          <t>6 篇/轮</t>
        </is>
      </c>
      <c r="J34" s="8" t="inlineStr">
        <is>
          <t>已核实</t>
        </is>
      </c>
      <c r="K34" s="10" t="inlineStr">
        <is>
          <t>https://www.ndss-symposium.org/ndss2027/submissions/call-for-papers/</t>
        </is>
      </c>
      <c r="L34" s="10" t="inlineStr">
        <is>
          <t>两轮投稿，夏季/秋季各一轮；核查:夏/秋两轮均截止；仅称须按参会政策报告；全部轮次 Summer:2026-05-07 / Fall:2026-08-20</t>
        </is>
      </c>
    </row>
    <row r="35" ht="28" customHeight="1">
      <c r="A35" s="8" t="n">
        <v>34</v>
      </c>
      <c r="B35" s="9" t="inlineStr">
        <is>
          <t>S&amp;P</t>
        </is>
      </c>
      <c r="C35" s="8" t="inlineStr">
        <is>
          <t>A</t>
        </is>
      </c>
      <c r="D35" s="12" t="inlineStr">
        <is>
          <t>13 页 + refs（上限 18 页）</t>
        </is>
      </c>
      <c r="E35" s="8" t="inlineStr">
        <is>
          <t>双盲</t>
        </is>
      </c>
      <c r="F35" s="12" t="inlineStr">
        <is>
          <t>待确认</t>
        </is>
      </c>
      <c r="G35" s="8" t="inlineStr">
        <is>
          <t>A*</t>
        </is>
      </c>
      <c r="H35" s="8" t="inlineStr">
        <is>
          <t>A</t>
        </is>
      </c>
      <c r="I35" s="10" t="inlineStr">
        <is>
          <t>6 篇/轮</t>
        </is>
      </c>
      <c r="J35" s="8" t="inlineStr">
        <is>
          <t>已核实</t>
        </is>
      </c>
      <c r="K35" s="10" t="inlineStr">
        <is>
          <t>https://sp2027.ieee-security.org/cfpapers.html</t>
        </is>
      </c>
      <c r="L35" s="10" t="inlineStr">
        <is>
          <t>两轮评审，周期长，常需 rebuttal；核查:官网无 CFP 正文，cfp.html 返回 404；重查:2027 CFP 已上线，第二轮 2026-11-17 截稿；每人每轮≤6 篇；全部轮次 First Paper submission deadline:2026-06-12 / Second Paper submission deadline:2026-11-18</t>
        </is>
      </c>
    </row>
    <row r="36" ht="28" customHeight="1">
      <c r="A36" s="8" t="n">
        <v>35</v>
      </c>
      <c r="B36" s="9" t="inlineStr">
        <is>
          <t>USENIX Security</t>
        </is>
      </c>
      <c r="C36" s="8" t="inlineStr">
        <is>
          <t>A</t>
        </is>
      </c>
      <c r="D36" s="12" t="inlineStr">
        <is>
          <t>13 页 + refs</t>
        </is>
      </c>
      <c r="E36" s="8" t="inlineStr">
        <is>
          <t>双盲</t>
        </is>
      </c>
      <c r="F36" s="12" t="inlineStr">
        <is>
          <t>HotCRP</t>
        </is>
      </c>
      <c r="G36" s="8" t="inlineStr">
        <is>
          <t>A*</t>
        </is>
      </c>
      <c r="H36" s="8" t="inlineStr">
        <is>
          <t>A</t>
        </is>
      </c>
      <c r="I36" s="10" t="inlineStr">
        <is>
          <t>7 篇/轮</t>
        </is>
      </c>
      <c r="J36" s="8" t="inlineStr">
        <is>
          <t>已核实</t>
        </is>
      </c>
      <c r="K36" s="10" t="inlineStr">
        <is>
          <t>https://www.usenix.org/conference/usenixsecurity27/call-for-papers</t>
        </is>
      </c>
      <c r="L36" s="10" t="inlineStr">
        <is>
          <t>每年两轮截稿，秋季与春季各一次；核查:两轮制，取第2轮；须全价注册现场报告；全部轮次 Cycle 1 Deadline:2026-08-26 / Cycle 2 Deadline:2027-01-27</t>
        </is>
      </c>
    </row>
    <row r="37" ht="28" customHeight="1">
      <c r="A37" s="8" t="n">
        <v>36</v>
      </c>
      <c r="B37" s="9" t="inlineStr">
        <is>
          <t>FM</t>
        </is>
      </c>
      <c r="C37" s="8" t="inlineStr">
        <is>
          <t>A</t>
        </is>
      </c>
      <c r="D37" s="12" t="inlineStr">
        <is>
          <t>16 页 + refs</t>
        </is>
      </c>
      <c r="E37" s="8" t="inlineStr">
        <is>
          <t>单盲</t>
        </is>
      </c>
      <c r="F37" s="12" t="inlineStr">
        <is>
          <t>待确认</t>
        </is>
      </c>
      <c r="G37" s="8" t="inlineStr">
        <is>
          <t>A</t>
        </is>
      </c>
      <c r="H37" s="8" t="inlineStr">
        <is>
          <t>B</t>
        </is>
      </c>
      <c r="I37" s="10" t="inlineStr">
        <is>
          <t>不限</t>
        </is>
      </c>
      <c r="J37" s="8" t="inlineStr">
        <is>
          <t>2027CFP未发布</t>
        </is>
      </c>
      <c r="K37" s="10" t="inlineStr">
        <is>
          <t>https://www.fmeurope.org/feature/upcoming_conferences/</t>
        </is>
      </c>
      <c r="L37" s="10" t="inlineStr">
        <is>
          <t>核查:FME 仅列 FM 2027 会期 18-22 Oct 2027 Athens，无截稿日</t>
        </is>
      </c>
    </row>
    <row r="38" ht="28" customHeight="1">
      <c r="A38" s="8" t="n">
        <v>37</v>
      </c>
      <c r="B38" s="9" t="inlineStr">
        <is>
          <t>FSE</t>
        </is>
      </c>
      <c r="C38" s="8" t="inlineStr">
        <is>
          <t>A</t>
        </is>
      </c>
      <c r="D38" s="12" t="inlineStr">
        <is>
          <t>12 页 + refs</t>
        </is>
      </c>
      <c r="E38" s="8" t="inlineStr">
        <is>
          <t>双盲</t>
        </is>
      </c>
      <c r="F38" s="12" t="inlineStr">
        <is>
          <t>HotCRP</t>
        </is>
      </c>
      <c r="G38" s="8" t="inlineStr">
        <is>
          <t>A*</t>
        </is>
      </c>
      <c r="H38" s="8" t="inlineStr">
        <is>
          <t>A</t>
        </is>
      </c>
      <c r="I38" s="10" t="inlineStr">
        <is>
          <t>不限</t>
        </is>
      </c>
      <c r="J38" s="8" t="inlineStr">
        <is>
          <t>已核实</t>
        </is>
      </c>
      <c r="K38" s="10" t="inlineStr">
        <is>
          <t>https://conf.researchr.org/dates/fse-2027</t>
        </is>
      </c>
      <c r="L38" s="10" t="inlineStr">
        <is>
          <t>2027 届在深圳举办，国内投稿便利；核查:初审2027-01-22，大修改终审2027-03-31</t>
        </is>
      </c>
    </row>
    <row r="39" ht="28" customHeight="1">
      <c r="A39" s="8" t="n">
        <v>38</v>
      </c>
      <c r="B39" s="9" t="inlineStr">
        <is>
          <t>ICSE</t>
        </is>
      </c>
      <c r="C39" s="8" t="inlineStr">
        <is>
          <t>A</t>
        </is>
      </c>
      <c r="D39" s="12" t="inlineStr">
        <is>
          <t>10 页 + refs</t>
        </is>
      </c>
      <c r="E39" s="8" t="inlineStr">
        <is>
          <t>双盲</t>
        </is>
      </c>
      <c r="F39" s="12" t="inlineStr">
        <is>
          <t>HotCRP</t>
        </is>
      </c>
      <c r="G39" s="8" t="inlineStr">
        <is>
          <t>A*</t>
        </is>
      </c>
      <c r="H39" s="8" t="inlineStr">
        <is>
          <t>A</t>
        </is>
      </c>
      <c r="I39" s="10" t="inlineStr">
        <is>
          <t>不限</t>
        </is>
      </c>
      <c r="J39" s="8" t="inlineStr">
        <is>
          <t>已核实</t>
        </is>
      </c>
      <c r="K39" s="10" t="inlineStr">
        <is>
          <t>https://conf.researchr.org/dates/icse-2027</t>
        </is>
      </c>
      <c r="L39" s="10" t="inlineStr">
        <is>
          <t>核查:摘要2026-06-23；大修改论文终审2026-12-18</t>
        </is>
      </c>
    </row>
    <row r="40" ht="28" customHeight="1">
      <c r="A40" s="8" t="n">
        <v>39</v>
      </c>
      <c r="B40" s="9" t="inlineStr">
        <is>
          <t>ISSTA</t>
        </is>
      </c>
      <c r="C40" s="8" t="inlineStr">
        <is>
          <t>A</t>
        </is>
      </c>
      <c r="D40" s="12" t="inlineStr">
        <is>
          <t>10 页 + refs</t>
        </is>
      </c>
      <c r="E40" s="8" t="inlineStr">
        <is>
          <t>双盲</t>
        </is>
      </c>
      <c r="F40" s="12" t="inlineStr">
        <is>
          <t>HotCRP</t>
        </is>
      </c>
      <c r="G40" s="8" t="inlineStr">
        <is>
          <t>A</t>
        </is>
      </c>
      <c r="H40" s="8" t="inlineStr">
        <is>
          <t>A</t>
        </is>
      </c>
      <c r="I40" s="10" t="inlineStr">
        <is>
          <t>不限</t>
        </is>
      </c>
      <c r="J40" s="8" t="inlineStr">
        <is>
          <t>已核实</t>
        </is>
      </c>
      <c r="K40" s="10" t="inlineStr">
        <is>
          <t>https://conf.researchr.org/home/issta-2027</t>
        </is>
      </c>
      <c r="L40" s="10" t="inlineStr">
        <is>
          <t>常与 ECOOP 等会议联合举办；核查:强制摘要2027-01-08；终审2027-06-17</t>
        </is>
      </c>
    </row>
    <row r="41" ht="28" customHeight="1">
      <c r="A41" s="8" t="n">
        <v>40</v>
      </c>
      <c r="B41" s="9" t="inlineStr">
        <is>
          <t>OOPSLA</t>
        </is>
      </c>
      <c r="C41" s="8" t="inlineStr">
        <is>
          <t>A</t>
        </is>
      </c>
      <c r="D41" s="12" t="inlineStr">
        <is>
          <t>23 页 + refs</t>
        </is>
      </c>
      <c r="E41" s="8" t="inlineStr">
        <is>
          <t>双盲</t>
        </is>
      </c>
      <c r="F41" s="12" t="inlineStr">
        <is>
          <t>HotCRP</t>
        </is>
      </c>
      <c r="G41" s="8" t="inlineStr">
        <is>
          <t>A</t>
        </is>
      </c>
      <c r="H41" s="8" t="inlineStr">
        <is>
          <t>A</t>
        </is>
      </c>
      <c r="I41" s="10" t="inlineStr">
        <is>
          <t>5 篇</t>
        </is>
      </c>
      <c r="J41" s="8" t="inlineStr">
        <is>
          <t>已核实</t>
        </is>
      </c>
      <c r="K41" s="10" t="inlineStr">
        <is>
          <t>https://2027.splashcon.org/track/splashoopsla2027</t>
        </is>
      </c>
      <c r="L41" s="10" t="inlineStr">
        <is>
          <t>SPLASH 旗下，PACMPL 期刊式出版；核查:两轮制，R2截稿2027-04-07；每人每轮≤5篇；全部轮次 Submission Deadline Round 1:2026-10-15 / Submission Deadline Round 2:2027-04-08</t>
        </is>
      </c>
    </row>
    <row r="42" ht="28" customHeight="1">
      <c r="A42" s="8" t="n">
        <v>41</v>
      </c>
      <c r="B42" s="9" t="inlineStr">
        <is>
          <t>OSDI</t>
        </is>
      </c>
      <c r="C42" s="8" t="inlineStr">
        <is>
          <t>A</t>
        </is>
      </c>
      <c r="D42" s="12" t="inlineStr">
        <is>
          <t>12 页 + refs</t>
        </is>
      </c>
      <c r="E42" s="8" t="inlineStr">
        <is>
          <t>双盲</t>
        </is>
      </c>
      <c r="F42" s="12" t="inlineStr">
        <is>
          <t>HotCRP</t>
        </is>
      </c>
      <c r="G42" s="8" t="inlineStr">
        <is>
          <t>A*</t>
        </is>
      </c>
      <c r="H42" s="8" t="inlineStr">
        <is>
          <t>A</t>
        </is>
      </c>
      <c r="I42" s="10" t="inlineStr">
        <is>
          <t>8 篇</t>
        </is>
      </c>
      <c r="J42" s="8" t="inlineStr">
        <is>
          <t>已核实</t>
        </is>
      </c>
      <c r="K42" s="10" t="inlineStr">
        <is>
          <t>https://www.usenix.org/conference/osdi27/call-for-papers</t>
        </is>
      </c>
      <c r="L42" s="10" t="inlineStr">
        <is>
          <t>与 SOSP 并列系统两大顶会；核查:摘要注册2026-12-01</t>
        </is>
      </c>
    </row>
    <row r="43" ht="28" customHeight="1">
      <c r="A43" s="8" t="n">
        <v>42</v>
      </c>
      <c r="B43" s="9" t="inlineStr">
        <is>
          <t>PLDI</t>
        </is>
      </c>
      <c r="C43" s="8" t="inlineStr">
        <is>
          <t>A</t>
        </is>
      </c>
      <c r="D43" s="12" t="inlineStr">
        <is>
          <t>23 页 + refs</t>
        </is>
      </c>
      <c r="E43" s="8" t="inlineStr">
        <is>
          <t>双盲</t>
        </is>
      </c>
      <c r="F43" s="12" t="inlineStr">
        <is>
          <t>HotCRP</t>
        </is>
      </c>
      <c r="G43" s="8" t="inlineStr">
        <is>
          <t>A*</t>
        </is>
      </c>
      <c r="H43" s="8" t="inlineStr">
        <is>
          <t>A</t>
        </is>
      </c>
      <c r="I43" s="10" t="inlineStr">
        <is>
          <t>不限</t>
        </is>
      </c>
      <c r="J43" s="8" t="inlineStr">
        <is>
          <t>已核实</t>
        </is>
      </c>
      <c r="K43" s="10" t="inlineStr">
        <is>
          <t>https://pldi27.sigplan.org/</t>
        </is>
      </c>
      <c r="L43" s="10" t="inlineStr">
        <is>
          <t>PACMPL 期刊式出版，一轮大改；核查:终审2027-04-01；重查:CFP 原文：Remote presentations will not be possible</t>
        </is>
      </c>
    </row>
    <row r="44" ht="28" customHeight="1">
      <c r="A44" s="8" t="n">
        <v>43</v>
      </c>
      <c r="B44" s="9" t="inlineStr">
        <is>
          <t>POPL</t>
        </is>
      </c>
      <c r="C44" s="8" t="inlineStr">
        <is>
          <t>A</t>
        </is>
      </c>
      <c r="D44" s="12" t="inlineStr">
        <is>
          <t>23 页 + refs</t>
        </is>
      </c>
      <c r="E44" s="8" t="inlineStr">
        <is>
          <t>双盲</t>
        </is>
      </c>
      <c r="F44" s="12" t="inlineStr">
        <is>
          <t>HotCRP</t>
        </is>
      </c>
      <c r="G44" s="8" t="inlineStr">
        <is>
          <t>A*</t>
        </is>
      </c>
      <c r="H44" s="8" t="inlineStr">
        <is>
          <t>A</t>
        </is>
      </c>
      <c r="I44" s="10" t="inlineStr">
        <is>
          <t>不限</t>
        </is>
      </c>
      <c r="J44" s="8" t="inlineStr">
        <is>
          <t>已核实</t>
        </is>
      </c>
      <c r="K44" s="10" t="inlineStr">
        <is>
          <t>https://popl27.sigplan.org/track/POPL-2027-popl-research-papers</t>
        </is>
      </c>
      <c r="L44" s="10" t="inlineStr">
        <is>
          <t>PACMPL 期刊式出版，理论门槛高；核查:已明确作者受邀但非必须现场；无摘要截稿</t>
        </is>
      </c>
    </row>
    <row r="45" ht="28" customHeight="1">
      <c r="A45" s="8" t="n">
        <v>44</v>
      </c>
      <c r="B45" s="9" t="inlineStr">
        <is>
          <t>AAMAS</t>
        </is>
      </c>
      <c r="C45" s="8" t="inlineStr">
        <is>
          <t>B</t>
        </is>
      </c>
      <c r="D45" s="12" t="inlineStr">
        <is>
          <t>8 页 + refs</t>
        </is>
      </c>
      <c r="E45" s="8" t="inlineStr">
        <is>
          <t>双盲</t>
        </is>
      </c>
      <c r="F45" s="12" t="inlineStr">
        <is>
          <t>OpenReview</t>
        </is>
      </c>
      <c r="G45" s="8" t="inlineStr">
        <is>
          <t>A*</t>
        </is>
      </c>
      <c r="H45" s="8" t="inlineStr">
        <is>
          <t>B</t>
        </is>
      </c>
      <c r="I45" s="10" t="inlineStr">
        <is>
          <t>不限</t>
        </is>
      </c>
      <c r="J45" s="8" t="inlineStr">
        <is>
          <t>已核实</t>
        </is>
      </c>
      <c r="K45" s="10" t="inlineStr">
        <is>
          <t>https://warwick.ac.uk/fac/sci/dcs/aamas2027/</t>
        </is>
      </c>
      <c r="L45" s="10" t="inlineStr">
        <is>
          <t>另有 JAAMAS 期刊投稿通道；核查:官网列2027主会日期，未写现场报告与远程政策</t>
        </is>
      </c>
    </row>
    <row r="46" ht="28" customHeight="1">
      <c r="A46" s="8" t="n">
        <v>45</v>
      </c>
      <c r="B46" s="9" t="inlineStr">
        <is>
          <t>COLING</t>
        </is>
      </c>
      <c r="C46" s="8" t="inlineStr">
        <is>
          <t>B</t>
        </is>
      </c>
      <c r="D46" s="12" t="inlineStr">
        <is>
          <t>8 页 + refs</t>
        </is>
      </c>
      <c r="E46" s="8" t="inlineStr">
        <is>
          <t>双盲</t>
        </is>
      </c>
      <c r="F46" s="12" t="inlineStr">
        <is>
          <t>OpenReview</t>
        </is>
      </c>
      <c r="G46" s="8" t="inlineStr">
        <is>
          <t>B</t>
        </is>
      </c>
      <c r="H46" s="8" t="inlineStr">
        <is>
          <t>B</t>
        </is>
      </c>
      <c r="I46" s="10" t="inlineStr">
        <is>
          <t>不限</t>
        </is>
      </c>
      <c r="J46" s="8" t="inlineStr">
        <is>
          <t>已核实</t>
        </is>
      </c>
      <c r="K46" s="10" t="inlineStr">
        <is>
          <t>https://2027.coling-iccl.org/calls/main_conference_papers/</t>
        </is>
      </c>
      <c r="L46" s="10" t="inlineStr">
        <is>
          <t>核查:走ARR 10月轮，12-23需commitment；全部轮次 ARR Submission:2026-10-13 / COLING commitment after ARR meta-reviews; reviewed papers only:2026-12-24</t>
        </is>
      </c>
    </row>
    <row r="47" ht="28" customHeight="1">
      <c r="A47" s="8" t="n">
        <v>46</v>
      </c>
      <c r="B47" s="9" t="inlineStr">
        <is>
          <t>COLT</t>
        </is>
      </c>
      <c r="C47" s="8" t="inlineStr">
        <is>
          <t>B</t>
        </is>
      </c>
      <c r="D47" s="12" t="inlineStr">
        <is>
          <t>12 页 + refs</t>
        </is>
      </c>
      <c r="E47" s="8" t="inlineStr">
        <is>
          <t>单盲</t>
        </is>
      </c>
      <c r="F47" s="12" t="inlineStr">
        <is>
          <t>待确认</t>
        </is>
      </c>
      <c r="G47" s="8" t="inlineStr">
        <is>
          <t>A*</t>
        </is>
      </c>
      <c r="H47" s="8" t="inlineStr">
        <is>
          <t>A</t>
        </is>
      </c>
      <c r="I47" s="10" t="inlineStr">
        <is>
          <t>不限</t>
        </is>
      </c>
      <c r="J47" s="8" t="inlineStr">
        <is>
          <t>2027CFP未发布</t>
        </is>
      </c>
      <c r="K47" s="10" t="inlineStr">
        <is>
          <t>https://learningtheory.org/colt2027/</t>
        </is>
      </c>
      <c r="L47" s="10" t="inlineStr">
        <is>
          <t>偏理论，数学功底要求高；核查:仅公布会期6/28-7/2，各截止日均TBD</t>
        </is>
      </c>
    </row>
    <row r="48" ht="28" customHeight="1">
      <c r="A48" s="8" t="n">
        <v>47</v>
      </c>
      <c r="B48" s="9" t="inlineStr">
        <is>
          <t>ECAI</t>
        </is>
      </c>
      <c r="C48" s="8" t="inlineStr">
        <is>
          <t>B</t>
        </is>
      </c>
      <c r="D48" s="12" t="inlineStr">
        <is>
          <t>7 页 + refs</t>
        </is>
      </c>
      <c r="E48" s="8" t="inlineStr">
        <is>
          <t>双盲</t>
        </is>
      </c>
      <c r="F48" s="12" t="inlineStr">
        <is>
          <t>待确认</t>
        </is>
      </c>
      <c r="G48" s="8" t="inlineStr">
        <is>
          <t>A</t>
        </is>
      </c>
      <c r="H48" s="8" t="inlineStr">
        <is>
          <t>N</t>
        </is>
      </c>
      <c r="I48" s="10" t="inlineStr">
        <is>
          <t>不限</t>
        </is>
      </c>
      <c r="J48" s="8" t="inlineStr">
        <is>
          <t>已核实</t>
        </is>
      </c>
      <c r="K48" s="10" t="inlineStr">
        <is>
          <t>https://ecai2027.org/</t>
        </is>
      </c>
      <c r="L48" s="10" t="inlineStr">
        <is>
          <t>核查:强调in person举办，但未写作者到场硬性要求</t>
        </is>
      </c>
    </row>
    <row r="49" ht="28" customHeight="1">
      <c r="A49" s="8" t="n">
        <v>48</v>
      </c>
      <c r="B49" s="9" t="inlineStr">
        <is>
          <t>ICAPS</t>
        </is>
      </c>
      <c r="C49" s="8" t="inlineStr">
        <is>
          <t>B</t>
        </is>
      </c>
      <c r="D49" s="12" t="inlineStr">
        <is>
          <t>8 页 + refs</t>
        </is>
      </c>
      <c r="E49" s="8" t="inlineStr">
        <is>
          <t>双盲</t>
        </is>
      </c>
      <c r="F49" s="12" t="inlineStr">
        <is>
          <t>待确认</t>
        </is>
      </c>
      <c r="G49" s="8" t="inlineStr">
        <is>
          <t>A*</t>
        </is>
      </c>
      <c r="H49" s="8" t="inlineStr">
        <is>
          <t>B</t>
        </is>
      </c>
      <c r="I49" s="10" t="inlineStr">
        <is>
          <t>不限</t>
        </is>
      </c>
      <c r="J49" s="8" t="inlineStr">
        <is>
          <t>2027CFP未发布</t>
        </is>
      </c>
      <c r="K49" s="10" t="inlineStr">
        <is>
          <t>https://icaps27.icaps-conference.org/</t>
        </is>
      </c>
      <c r="L49" s="10" t="inlineStr">
        <is>
          <t>核查:官网仅有会期地点，无征稿信息</t>
        </is>
      </c>
    </row>
    <row r="50" ht="28" customHeight="1">
      <c r="A50" s="8" t="n">
        <v>49</v>
      </c>
      <c r="B50" s="9" t="inlineStr">
        <is>
          <t>ICRA</t>
        </is>
      </c>
      <c r="C50" s="8" t="inlineStr">
        <is>
          <t>B</t>
        </is>
      </c>
      <c r="D50" s="12" t="inlineStr">
        <is>
          <t>6 页 + refs</t>
        </is>
      </c>
      <c r="E50" s="8" t="inlineStr">
        <is>
          <t>待确认</t>
        </is>
      </c>
      <c r="F50" s="12" t="inlineStr">
        <is>
          <t>官网自建</t>
        </is>
      </c>
      <c r="G50" s="8" t="inlineStr">
        <is>
          <t>A*</t>
        </is>
      </c>
      <c r="H50" s="8" t="inlineStr">
        <is>
          <t>A</t>
        </is>
      </c>
      <c r="I50" s="10" t="inlineStr">
        <is>
          <t>不限</t>
        </is>
      </c>
      <c r="J50" s="8" t="inlineStr">
        <is>
          <t>已核实</t>
        </is>
      </c>
      <c r="K50" s="10" t="inlineStr">
        <is>
          <t>https://2027.ieee-icra.org/</t>
        </is>
      </c>
      <c r="L50" s="10" t="inlineStr">
        <is>
          <t>可转投 RA-L，篇幅更短周期更快；核查:已发CFP公告，随文视频9/18-22；正刊截稿未见</t>
        </is>
      </c>
    </row>
    <row r="51" ht="28" customHeight="1">
      <c r="A51" s="8" t="n">
        <v>50</v>
      </c>
      <c r="B51" s="9" t="inlineStr">
        <is>
          <t>IJCAI</t>
        </is>
      </c>
      <c r="C51" s="8" t="inlineStr">
        <is>
          <t>B</t>
        </is>
      </c>
      <c r="D51" s="12" t="inlineStr">
        <is>
          <t>7 页 + refs</t>
        </is>
      </c>
      <c r="E51" s="8" t="inlineStr">
        <is>
          <t>双盲</t>
        </is>
      </c>
      <c r="F51" s="12" t="inlineStr">
        <is>
          <t>CMT</t>
        </is>
      </c>
      <c r="G51" s="8" t="inlineStr">
        <is>
          <t>A*</t>
        </is>
      </c>
      <c r="H51" s="8" t="inlineStr">
        <is>
          <t>B</t>
        </is>
      </c>
      <c r="I51" s="10" t="inlineStr">
        <is>
          <t>不限</t>
        </is>
      </c>
      <c r="J51" s="8" t="inlineStr">
        <is>
          <t>已核实</t>
        </is>
      </c>
      <c r="K51" s="10" t="inlineStr">
        <is>
          <t>https://2027.ijcai.org/</t>
        </is>
      </c>
      <c r="L51" s="10" t="inlineStr">
        <is>
          <t>摘要需提前注册，与 ECAI 为姊妹会；核查:摘要截止2027-01-04；日程页未提参会/篇数政策</t>
        </is>
      </c>
    </row>
    <row r="52" ht="28" customHeight="1">
      <c r="A52" s="8" t="n">
        <v>51</v>
      </c>
      <c r="B52" s="9" t="inlineStr">
        <is>
          <t>KR</t>
        </is>
      </c>
      <c r="C52" s="8" t="inlineStr">
        <is>
          <t>B</t>
        </is>
      </c>
      <c r="D52" s="12" t="inlineStr">
        <is>
          <t>9 页 + refs</t>
        </is>
      </c>
      <c r="E52" s="8" t="inlineStr">
        <is>
          <t>双盲</t>
        </is>
      </c>
      <c r="F52" s="12" t="inlineStr">
        <is>
          <t>待确认</t>
        </is>
      </c>
      <c r="G52" s="8" t="inlineStr">
        <is>
          <t>A*</t>
        </is>
      </c>
      <c r="H52" s="8" t="inlineStr">
        <is>
          <t>N</t>
        </is>
      </c>
      <c r="I52" s="10" t="inlineStr">
        <is>
          <t>不限</t>
        </is>
      </c>
      <c r="J52" s="8" t="inlineStr">
        <is>
          <t>未找到</t>
        </is>
      </c>
      <c r="K52" s="10" t="inlineStr">
        <is>
          <t>https://kr.org/KR2027/</t>
        </is>
      </c>
      <c r="L52" s="10" t="inlineStr">
        <is>
          <t>核查:官网仅会议信息无CFP；第三方称截稿2027-04-28</t>
        </is>
      </c>
    </row>
    <row r="53" ht="28" customHeight="1">
      <c r="A53" s="8" t="n">
        <v>52</v>
      </c>
      <c r="B53" s="9" t="inlineStr">
        <is>
          <t>NAACL</t>
        </is>
      </c>
      <c r="C53" s="8" t="inlineStr">
        <is>
          <t>B</t>
        </is>
      </c>
      <c r="D53" s="12" t="inlineStr">
        <is>
          <t>8 页 + refs</t>
        </is>
      </c>
      <c r="E53" s="8" t="inlineStr">
        <is>
          <t>双盲</t>
        </is>
      </c>
      <c r="F53" s="12" t="inlineStr">
        <is>
          <t>OpenReview</t>
        </is>
      </c>
      <c r="G53" s="8" t="inlineStr">
        <is>
          <t>A</t>
        </is>
      </c>
      <c r="H53" s="8" t="inlineStr">
        <is>
          <t>B</t>
        </is>
      </c>
      <c r="I53" s="10" t="inlineStr">
        <is>
          <t>不限</t>
        </is>
      </c>
      <c r="J53" s="8" t="inlineStr">
        <is>
          <t>已核实</t>
        </is>
      </c>
      <c r="K53" s="10" t="inlineStr">
        <is>
          <t>https://2027.naacl.org/</t>
        </is>
      </c>
      <c r="L53" s="10" t="inlineStr">
        <is>
          <t>投稿走 ACL Rolling Review，非直接投会议；核查:走ARR，commitment截止2026-12-23；全部轮次 ARR Submission:2026-10-13 / NAACL commitment after ARR meta-reviews; reviewed papers only:2026-12-24</t>
        </is>
      </c>
    </row>
    <row r="54" ht="28" customHeight="1">
      <c r="A54" s="8" t="n">
        <v>53</v>
      </c>
      <c r="B54" s="9" t="inlineStr">
        <is>
          <t>DCC</t>
        </is>
      </c>
      <c r="C54" s="8" t="inlineStr">
        <is>
          <t>B</t>
        </is>
      </c>
      <c r="D54" s="12" t="inlineStr">
        <is>
          <t>待确认</t>
        </is>
      </c>
      <c r="E54" s="8" t="inlineStr">
        <is>
          <t>待确认</t>
        </is>
      </c>
      <c r="F54" s="12" t="inlineStr">
        <is>
          <t>待确认</t>
        </is>
      </c>
      <c r="G54" s="8" t="inlineStr">
        <is>
          <t>B</t>
        </is>
      </c>
      <c r="H54" s="8" t="inlineStr">
        <is>
          <t>B</t>
        </is>
      </c>
      <c r="I54" s="10" t="inlineStr">
        <is>
          <t>不限</t>
        </is>
      </c>
      <c r="J54" s="8" t="inlineStr">
        <is>
          <t>已核实</t>
        </is>
      </c>
      <c r="K54" s="10" t="inlineStr">
        <is>
          <t>https://datacompressionconference.org/call-for-papers/</t>
        </is>
      </c>
      <c r="L54" s="10" t="inlineStr">
        <is>
          <t>单轨小会，常与数据压缩领域工业界合办；核查:由10-02延期至10-09（美太平洋时间）；通知日未公布</t>
        </is>
      </c>
    </row>
    <row r="55" ht="28" customHeight="1">
      <c r="A55" s="8" t="n">
        <v>54</v>
      </c>
      <c r="B55" s="9" t="inlineStr">
        <is>
          <t>EuroVis</t>
        </is>
      </c>
      <c r="C55" s="8" t="inlineStr">
        <is>
          <t>B</t>
        </is>
      </c>
      <c r="D55" s="12" t="inlineStr">
        <is>
          <t>待确认</t>
        </is>
      </c>
      <c r="E55" s="8" t="inlineStr">
        <is>
          <t>待确认</t>
        </is>
      </c>
      <c r="F55" s="12" t="inlineStr">
        <is>
          <t>EasyChair</t>
        </is>
      </c>
      <c r="G55" s="8" t="inlineStr">
        <is>
          <t>B</t>
        </is>
      </c>
      <c r="H55" s="8" t="inlineStr">
        <is>
          <t>B</t>
        </is>
      </c>
      <c r="I55" s="10" t="inlineStr">
        <is>
          <t>不限</t>
        </is>
      </c>
      <c r="J55" s="8" t="inlineStr">
        <is>
          <t>未找到</t>
        </is>
      </c>
      <c r="K55" s="10" t="inlineStr">
        <is>
          <t>https://eurovis27.github.io/web/submissions/all-deadlines/</t>
        </is>
      </c>
      <c r="L55" s="10" t="inlineStr">
        <is>
          <t>全文经 CGF 期刊轨出版；核查:仅公布workshop/STAR日期，full paper截稿未出</t>
        </is>
      </c>
    </row>
    <row r="56" ht="28" customHeight="1">
      <c r="A56" s="8" t="n">
        <v>55</v>
      </c>
      <c r="B56" s="9" t="inlineStr">
        <is>
          <t>Eurographics</t>
        </is>
      </c>
      <c r="C56" s="8" t="inlineStr">
        <is>
          <t>B</t>
        </is>
      </c>
      <c r="D56" s="12" t="inlineStr">
        <is>
          <t>待确认</t>
        </is>
      </c>
      <c r="E56" s="8" t="inlineStr">
        <is>
          <t>待确认</t>
        </is>
      </c>
      <c r="F56" s="12" t="inlineStr">
        <is>
          <t>EasyChair</t>
        </is>
      </c>
      <c r="G56" s="8" t="inlineStr">
        <is>
          <t>B</t>
        </is>
      </c>
      <c r="H56" s="8" t="inlineStr">
        <is>
          <t>B</t>
        </is>
      </c>
      <c r="I56" s="10" t="inlineStr">
        <is>
          <t>不限</t>
        </is>
      </c>
      <c r="J56" s="8" t="inlineStr">
        <is>
          <t>未找到</t>
        </is>
      </c>
      <c r="K56" s="10" t="inlineStr">
        <is>
          <t>https://eg2027.isti.cnr.it/</t>
        </is>
      </c>
      <c r="L56" s="10" t="inlineStr">
        <is>
          <t>full paper 经 CGF 期刊轨发表；核查:仅见STAR截稿2026-10-19 AoE；full paper页404</t>
        </is>
      </c>
    </row>
    <row r="57" ht="28" customHeight="1">
      <c r="A57" s="8" t="n">
        <v>56</v>
      </c>
      <c r="B57" s="9" t="inlineStr">
        <is>
          <t>ICASSP</t>
        </is>
      </c>
      <c r="C57" s="8" t="inlineStr">
        <is>
          <t>B</t>
        </is>
      </c>
      <c r="D57" s="12" t="inlineStr">
        <is>
          <t>4 页 + refs</t>
        </is>
      </c>
      <c r="E57" s="8" t="inlineStr">
        <is>
          <t>单盲</t>
        </is>
      </c>
      <c r="F57" s="12" t="inlineStr">
        <is>
          <t>CMT</t>
        </is>
      </c>
      <c r="G57" s="8" t="inlineStr">
        <is>
          <t>B</t>
        </is>
      </c>
      <c r="H57" s="8" t="inlineStr">
        <is>
          <t>B</t>
        </is>
      </c>
      <c r="I57" s="10" t="inlineStr">
        <is>
          <t>不限</t>
        </is>
      </c>
      <c r="J57" s="8" t="inlineStr">
        <is>
          <t>已核实</t>
        </is>
      </c>
      <c r="K57" s="10" t="inlineStr">
        <is>
          <t>https://2027.ieeeicassp.org/call-for-papers/</t>
        </is>
      </c>
      <c r="L57" s="10" t="inlineStr">
        <is>
          <t>接收后需现场报告，缺席可能撤稿；核查:终稿2027-01-27，作者注册2027-02-10</t>
        </is>
      </c>
    </row>
    <row r="58" ht="28" customHeight="1">
      <c r="A58" s="8" t="n">
        <v>57</v>
      </c>
      <c r="B58" s="9" t="inlineStr">
        <is>
          <t>ICME</t>
        </is>
      </c>
      <c r="C58" s="8" t="inlineStr">
        <is>
          <t>B</t>
        </is>
      </c>
      <c r="D58" s="12" t="inlineStr">
        <is>
          <t>6 页 + refs</t>
        </is>
      </c>
      <c r="E58" s="8" t="inlineStr">
        <is>
          <t>双盲</t>
        </is>
      </c>
      <c r="F58" s="12" t="inlineStr">
        <is>
          <t>CMT</t>
        </is>
      </c>
      <c r="G58" s="8" t="inlineStr">
        <is>
          <t>A</t>
        </is>
      </c>
      <c r="H58" s="8" t="inlineStr">
        <is>
          <t>N</t>
        </is>
      </c>
      <c r="I58" s="10" t="inlineStr">
        <is>
          <t>不限</t>
        </is>
      </c>
      <c r="J58" s="8" t="inlineStr">
        <is>
          <t>已核实</t>
        </is>
      </c>
      <c r="K58" s="10" t="inlineStr">
        <is>
          <t>https://2027.ieeeicme.org/authors/call-for-papers</t>
        </is>
      </c>
      <c r="L58" s="10" t="inlineStr">
        <is>
          <t>核查:CFP未写到场要求与投稿篇数上限</t>
        </is>
      </c>
    </row>
    <row r="59" ht="28" customHeight="1">
      <c r="A59" s="8" t="n">
        <v>58</v>
      </c>
      <c r="B59" s="9" t="inlineStr">
        <is>
          <t>ICMR</t>
        </is>
      </c>
      <c r="C59" s="8" t="inlineStr">
        <is>
          <t>B</t>
        </is>
      </c>
      <c r="D59" s="12" t="inlineStr">
        <is>
          <t>6 页 + refs</t>
        </is>
      </c>
      <c r="E59" s="8" t="inlineStr">
        <is>
          <t>待确认</t>
        </is>
      </c>
      <c r="F59" s="12" t="inlineStr">
        <is>
          <t>待确认</t>
        </is>
      </c>
      <c r="G59" s="8" t="inlineStr">
        <is>
          <t>B</t>
        </is>
      </c>
      <c r="H59" s="8" t="inlineStr">
        <is>
          <t>B</t>
        </is>
      </c>
      <c r="I59" s="10" t="inlineStr">
        <is>
          <t>不限</t>
        </is>
      </c>
      <c r="J59" s="8" t="inlineStr">
        <is>
          <t>2027CFP未发布</t>
        </is>
      </c>
      <c r="K59" s="10" t="inlineStr">
        <is>
          <t>https://www.icmr2027.org/</t>
        </is>
      </c>
      <c r="L59" s="10" t="inlineStr">
        <is>
          <t>核查:官网仅公布会期，CFP页返回404</t>
        </is>
      </c>
    </row>
    <row r="60" ht="28" customHeight="1">
      <c r="A60" s="8" t="n">
        <v>59</v>
      </c>
      <c r="B60" s="9" t="inlineStr">
        <is>
          <t>InterSpeech</t>
        </is>
      </c>
      <c r="C60" s="8" t="inlineStr">
        <is>
          <t>B</t>
        </is>
      </c>
      <c r="D60" s="12" t="inlineStr">
        <is>
          <t>4 页 + refs</t>
        </is>
      </c>
      <c r="E60" s="8" t="inlineStr">
        <is>
          <t>待确认</t>
        </is>
      </c>
      <c r="F60" s="12" t="inlineStr">
        <is>
          <t>官网自建</t>
        </is>
      </c>
      <c r="G60" s="8" t="inlineStr">
        <is>
          <t>A</t>
        </is>
      </c>
      <c r="H60" s="8" t="inlineStr">
        <is>
          <t>N</t>
        </is>
      </c>
      <c r="I60" s="10" t="inlineStr">
        <is>
          <t>不限</t>
        </is>
      </c>
      <c r="J60" s="8" t="inlineStr">
        <is>
          <t>已核实</t>
        </is>
      </c>
      <c r="K60" s="10" t="inlineStr">
        <is>
          <t>https://interspeech2027.org/</t>
        </is>
      </c>
      <c r="L60" s="10" t="inlineStr">
        <is>
          <t>ISCA 主办，每年换城市；核查:CFP页未上线，日期取自官网首页</t>
        </is>
      </c>
    </row>
    <row r="61" ht="28" customHeight="1">
      <c r="A61" s="8" t="n">
        <v>60</v>
      </c>
      <c r="B61" s="9" t="inlineStr">
        <is>
          <t>SGP</t>
        </is>
      </c>
      <c r="C61" s="8" t="inlineStr">
        <is>
          <t>B</t>
        </is>
      </c>
      <c r="D61" s="12" t="inlineStr">
        <is>
          <t>待确认</t>
        </is>
      </c>
      <c r="E61" s="8" t="inlineStr">
        <is>
          <t>待确认</t>
        </is>
      </c>
      <c r="F61" s="12" t="inlineStr">
        <is>
          <t>EasyChair</t>
        </is>
      </c>
      <c r="G61" s="8" t="inlineStr">
        <is>
          <t>B</t>
        </is>
      </c>
      <c r="H61" s="8" t="inlineStr">
        <is>
          <t>B</t>
        </is>
      </c>
      <c r="I61" s="10" t="inlineStr">
        <is>
          <t>不限</t>
        </is>
      </c>
      <c r="J61" s="8" t="inlineStr">
        <is>
          <t>2027CFP未发布</t>
        </is>
      </c>
      <c r="K61" s="10" t="inlineStr">
        <is>
          <t>https://igs2027singapore.github.io/</t>
        </is>
      </c>
      <c r="L61" s="10" t="inlineStr">
        <is>
          <t>与 CGF 期刊轨联动；核查:IGS2027称SGP另设官网，尚未上线</t>
        </is>
      </c>
    </row>
    <row r="62" ht="28" customHeight="1">
      <c r="A62" s="8" t="n">
        <v>61</v>
      </c>
      <c r="B62" s="9" t="inlineStr">
        <is>
          <t>SPM</t>
        </is>
      </c>
      <c r="C62" s="8" t="inlineStr">
        <is>
          <t>B</t>
        </is>
      </c>
      <c r="D62" s="12" t="inlineStr">
        <is>
          <t>待确认</t>
        </is>
      </c>
      <c r="E62" s="8" t="inlineStr">
        <is>
          <t>待确认</t>
        </is>
      </c>
      <c r="F62" s="12" t="inlineStr">
        <is>
          <t>EasyChair</t>
        </is>
      </c>
      <c r="G62" s="8" t="inlineStr">
        <is>
          <t>C</t>
        </is>
      </c>
      <c r="H62" s="8" t="inlineStr">
        <is>
          <t>B</t>
        </is>
      </c>
      <c r="I62" s="10" t="inlineStr">
        <is>
          <t>不限</t>
        </is>
      </c>
      <c r="J62" s="8" t="inlineStr">
        <is>
          <t>2027CFP未发布</t>
        </is>
      </c>
      <c r="K62" s="10" t="inlineStr">
        <is>
          <t>https://igs2027singapore.github.io/</t>
        </is>
      </c>
      <c r="L62" s="10" t="inlineStr">
        <is>
          <t>常与 SMI 等几何会议同期；核查:IGS2027称SPM另设官网，尚未上线</t>
        </is>
      </c>
    </row>
    <row r="63" ht="28" customHeight="1">
      <c r="A63" s="8" t="n">
        <v>62</v>
      </c>
      <c r="B63" s="9" t="inlineStr">
        <is>
          <t>CADE</t>
        </is>
      </c>
      <c r="C63" s="8" t="inlineStr">
        <is>
          <t>B</t>
        </is>
      </c>
      <c r="D63" s="12" t="inlineStr">
        <is>
          <t>待确认</t>
        </is>
      </c>
      <c r="E63" s="8" t="inlineStr">
        <is>
          <t>待确认</t>
        </is>
      </c>
      <c r="F63" s="12" t="inlineStr">
        <is>
          <t>EasyChair</t>
        </is>
      </c>
      <c r="G63" s="8" t="inlineStr">
        <is>
          <t>A</t>
        </is>
      </c>
      <c r="H63" s="8" t="inlineStr">
        <is>
          <t>B</t>
        </is>
      </c>
      <c r="I63" s="10" t="inlineStr">
        <is>
          <t>不限</t>
        </is>
      </c>
      <c r="J63" s="8" t="inlineStr">
        <is>
          <t>已核实</t>
        </is>
      </c>
      <c r="K63" s="10" t="inlineStr">
        <is>
          <t>https://fscd-cade.science.ru.nl/calls/papers-cade</t>
        </is>
      </c>
      <c r="L63" s="10" t="inlineStr">
        <is>
          <t>Springer LNCS 出版；核查:首页时间线2/14、2/21，CFP页为2/15、2/22</t>
        </is>
      </c>
    </row>
    <row r="64" ht="28" customHeight="1">
      <c r="A64" s="8" t="n">
        <v>63</v>
      </c>
      <c r="B64" s="9" t="inlineStr">
        <is>
          <t>CCC</t>
        </is>
      </c>
      <c r="C64" s="8" t="inlineStr">
        <is>
          <t>B</t>
        </is>
      </c>
      <c r="D64" s="12" t="inlineStr">
        <is>
          <t>待确认</t>
        </is>
      </c>
      <c r="E64" s="8" t="inlineStr">
        <is>
          <t>待确认</t>
        </is>
      </c>
      <c r="F64" s="12" t="inlineStr">
        <is>
          <t>EasyChair</t>
        </is>
      </c>
      <c r="G64" s="8" t="inlineStr">
        <is>
          <t>—</t>
        </is>
      </c>
      <c r="H64" s="8" t="inlineStr">
        <is>
          <t>—</t>
        </is>
      </c>
      <c r="I64" s="10" t="inlineStr">
        <is>
          <t>不限</t>
        </is>
      </c>
      <c r="J64" s="8" t="inlineStr">
        <is>
          <t>2027CFP未发布</t>
        </is>
      </c>
      <c r="K64" s="10" t="inlineStr">
        <is>
          <t>https://computationalcomplexity.org/</t>
        </is>
      </c>
      <c r="L64" s="10" t="inlineStr">
        <is>
          <t>单轨，无 workshop；核查:仅公布会期地点，2027届CFP未发布</t>
        </is>
      </c>
    </row>
    <row r="65" ht="28" customHeight="1">
      <c r="A65" s="8" t="n">
        <v>64</v>
      </c>
      <c r="B65" s="9" t="inlineStr">
        <is>
          <t>HSCC</t>
        </is>
      </c>
      <c r="C65" s="8" t="inlineStr">
        <is>
          <t>B</t>
        </is>
      </c>
      <c r="D65" s="12" t="inlineStr">
        <is>
          <t>待确认</t>
        </is>
      </c>
      <c r="E65" s="8" t="inlineStr">
        <is>
          <t>待确认</t>
        </is>
      </c>
      <c r="F65" s="12" t="inlineStr">
        <is>
          <t>HotCRP</t>
        </is>
      </c>
      <c r="G65" s="8" t="inlineStr">
        <is>
          <t>N</t>
        </is>
      </c>
      <c r="H65" s="8" t="inlineStr">
        <is>
          <t>B</t>
        </is>
      </c>
      <c r="I65" s="10" t="inlineStr">
        <is>
          <t>不限</t>
        </is>
      </c>
      <c r="J65" s="8" t="inlineStr">
        <is>
          <t>已核实</t>
        </is>
      </c>
      <c r="K65" s="10" t="inlineStr">
        <is>
          <t>https://hscc.acm.org/2027/</t>
        </is>
      </c>
      <c r="L65" s="10" t="inlineStr">
        <is>
          <t>常与 ICCPS 等合办 CPS-IoT Week；核查:2027与ICCPS合并为HSCC+ICCPS'27，未提参会形式；重查:Authors 页未写到场与新人条款；artifact evaluation 自愿参加</t>
        </is>
      </c>
    </row>
    <row r="66" ht="28" customHeight="1">
      <c r="A66" s="8" t="n">
        <v>65</v>
      </c>
      <c r="B66" s="9" t="inlineStr">
        <is>
          <t>ICALP</t>
        </is>
      </c>
      <c r="C66" s="8" t="inlineStr">
        <is>
          <t>B</t>
        </is>
      </c>
      <c r="D66" s="12" t="inlineStr">
        <is>
          <t>12 页 + refs</t>
        </is>
      </c>
      <c r="E66" s="8" t="inlineStr">
        <is>
          <t>待确认</t>
        </is>
      </c>
      <c r="F66" s="12" t="inlineStr">
        <is>
          <t>EasyChair</t>
        </is>
      </c>
      <c r="G66" s="8" t="inlineStr">
        <is>
          <t>A*</t>
        </is>
      </c>
      <c r="H66" s="8" t="inlineStr">
        <is>
          <t>A</t>
        </is>
      </c>
      <c r="I66" s="10" t="inlineStr">
        <is>
          <t>不限</t>
        </is>
      </c>
      <c r="J66" s="8" t="inlineStr">
        <is>
          <t>2027CFP未发布</t>
        </is>
      </c>
      <c r="K66" s="10" t="inlineStr">
        <is>
          <t>https://icalp.uj.edu.pl/</t>
        </is>
      </c>
      <c r="L66" s="10" t="inlineStr">
        <is>
          <t>分 Track A/B，LIPIcs 免费开放获取；核查:官网仅公布会期2027-07-05至09及举办地</t>
        </is>
      </c>
    </row>
    <row r="67" ht="28" customHeight="1">
      <c r="A67" s="8" t="n">
        <v>66</v>
      </c>
      <c r="B67" s="9" t="inlineStr">
        <is>
          <t>SOCG</t>
        </is>
      </c>
      <c r="C67" s="8" t="inlineStr">
        <is>
          <t>B</t>
        </is>
      </c>
      <c r="D67" s="12" t="inlineStr">
        <is>
          <t>待确认</t>
        </is>
      </c>
      <c r="E67" s="8" t="inlineStr">
        <is>
          <t>待确认</t>
        </is>
      </c>
      <c r="F67" s="12" t="inlineStr">
        <is>
          <t>EasyChair</t>
        </is>
      </c>
      <c r="G67" s="8" t="inlineStr">
        <is>
          <t>A</t>
        </is>
      </c>
      <c r="H67" s="8" t="inlineStr">
        <is>
          <t>B</t>
        </is>
      </c>
      <c r="I67" s="10" t="inlineStr">
        <is>
          <t>不限</t>
        </is>
      </c>
      <c r="J67" s="8" t="inlineStr">
        <is>
          <t>2027CFP未发布</t>
        </is>
      </c>
      <c r="K67" s="10" t="inlineStr">
        <is>
          <t>https://cgweek27.computational-geometry.org/</t>
        </is>
      </c>
      <c r="L67" s="10" t="inlineStr">
        <is>
          <t>LIPIcs 出版；核查:CG Week 2027会期6/21-25，CFP页404；须CG Society会员</t>
        </is>
      </c>
    </row>
    <row r="68" ht="28" customHeight="1">
      <c r="A68" s="8" t="n">
        <v>67</v>
      </c>
      <c r="B68" s="9" t="inlineStr">
        <is>
          <t>CIDR</t>
        </is>
      </c>
      <c r="C68" s="8" t="inlineStr">
        <is>
          <t>B</t>
        </is>
      </c>
      <c r="D68" s="12" t="inlineStr">
        <is>
          <t>待确认</t>
        </is>
      </c>
      <c r="E68" s="8" t="inlineStr">
        <is>
          <t>单盲</t>
        </is>
      </c>
      <c r="F68" s="12" t="inlineStr">
        <is>
          <t>CMT</t>
        </is>
      </c>
      <c r="G68" s="8" t="inlineStr">
        <is>
          <t>A</t>
        </is>
      </c>
      <c r="H68" s="8" t="inlineStr">
        <is>
          <t>N</t>
        </is>
      </c>
      <c r="I68" s="10" t="inlineStr">
        <is>
          <t>1 篇</t>
        </is>
      </c>
      <c r="J68" s="8" t="inlineStr">
        <is>
          <t>已核实</t>
        </is>
      </c>
      <c r="K68" s="10" t="inlineStr">
        <is>
          <t>https://www.cidrdb.org/cidr2027/</t>
        </is>
      </c>
      <c r="L68" s="10" t="inlineStr">
        <is>
          <t>无正式 proceedings，单轮评审、重讨论；核查:官网写明每作者限投1篇，但未列任何截止日期</t>
        </is>
      </c>
    </row>
    <row r="69" ht="28" customHeight="1">
      <c r="A69" s="8" t="n">
        <v>68</v>
      </c>
      <c r="B69" s="9" t="inlineStr">
        <is>
          <t>DASFAA</t>
        </is>
      </c>
      <c r="C69" s="8" t="inlineStr">
        <is>
          <t>B</t>
        </is>
      </c>
      <c r="D69" s="12" t="inlineStr">
        <is>
          <t>待确认</t>
        </is>
      </c>
      <c r="E69" s="8" t="inlineStr">
        <is>
          <t>待确认</t>
        </is>
      </c>
      <c r="F69" s="12" t="inlineStr">
        <is>
          <t>待确认</t>
        </is>
      </c>
      <c r="G69" s="8" t="inlineStr">
        <is>
          <t>B</t>
        </is>
      </c>
      <c r="H69" s="8" t="inlineStr">
        <is>
          <t>B</t>
        </is>
      </c>
      <c r="I69" s="10" t="inlineStr">
        <is>
          <t>不限</t>
        </is>
      </c>
      <c r="J69" s="8" t="inlineStr">
        <is>
          <t>已核实</t>
        </is>
      </c>
      <c r="K69" s="10" t="inlineStr">
        <is>
          <t>https://dasfaa2027.github.io/</t>
        </is>
      </c>
      <c r="L69" s="10" t="inlineStr">
        <is>
          <t>核查:研究/工业track，AoE23:59；Demo稿12-10截</t>
        </is>
      </c>
    </row>
    <row r="70" ht="28" customHeight="1">
      <c r="A70" s="8" t="n">
        <v>69</v>
      </c>
      <c r="B70" s="9" t="inlineStr">
        <is>
          <t>ECML-PKDD</t>
        </is>
      </c>
      <c r="C70" s="8" t="inlineStr">
        <is>
          <t>B</t>
        </is>
      </c>
      <c r="D70" s="12" t="inlineStr">
        <is>
          <t>16 页（含参考文献）</t>
        </is>
      </c>
      <c r="E70" s="8" t="inlineStr">
        <is>
          <t>双盲</t>
        </is>
      </c>
      <c r="F70" s="12" t="inlineStr">
        <is>
          <t>待确认</t>
        </is>
      </c>
      <c r="G70" s="8" t="inlineStr">
        <is>
          <t>A</t>
        </is>
      </c>
      <c r="H70" s="8" t="inlineStr">
        <is>
          <t>N</t>
        </is>
      </c>
      <c r="I70" s="10" t="inlineStr">
        <is>
          <t>不限</t>
        </is>
      </c>
      <c r="J70" s="8" t="inlineStr">
        <is>
          <t>2027CFP未发布</t>
        </is>
      </c>
      <c r="K70" s="10" t="inlineStr">
        <is>
          <t>https://ecmlpkdd.org/2027/</t>
        </is>
      </c>
      <c r="L70" s="10" t="inlineStr">
        <is>
          <t>Springer LNCS 格式；核查:官网仅标题页，会期2027-08-30至09-03</t>
        </is>
      </c>
    </row>
    <row r="71" ht="28" customHeight="1">
      <c r="A71" s="8" t="n">
        <v>70</v>
      </c>
      <c r="B71" s="9" t="inlineStr">
        <is>
          <t>EDBT</t>
        </is>
      </c>
      <c r="C71" s="8" t="inlineStr">
        <is>
          <t>B</t>
        </is>
      </c>
      <c r="D71" s="12" t="inlineStr">
        <is>
          <t>12 页 + refs</t>
        </is>
      </c>
      <c r="E71" s="8" t="inlineStr">
        <is>
          <t>待确认</t>
        </is>
      </c>
      <c r="F71" s="12" t="inlineStr">
        <is>
          <t>待确认</t>
        </is>
      </c>
      <c r="G71" s="8" t="inlineStr">
        <is>
          <t>A</t>
        </is>
      </c>
      <c r="H71" s="8" t="inlineStr">
        <is>
          <t>B</t>
        </is>
      </c>
      <c r="I71" s="10" t="inlineStr">
        <is>
          <t>不限</t>
        </is>
      </c>
      <c r="J71" s="8" t="inlineStr">
        <is>
          <t>2027CFP未发布</t>
        </is>
      </c>
      <c r="K71" s="10" t="inlineStr">
        <is>
          <t>https://edbticdt2027.github.io/</t>
        </is>
      </c>
      <c r="L71" s="10" t="inlineStr">
        <is>
          <t>与 ICDT 同期同地举办；核查:仅占位首页，会期2027-04-06至09，无CFP；全部轮次 Official February cutoff is 17:00 PST (UTC-8), represented as the equivalent 13:00 AoE.:2026-02-05 / 轮:2026-06-11 / 轮:2026-10-08</t>
        </is>
      </c>
    </row>
    <row r="72" ht="28" customHeight="1">
      <c r="A72" s="8" t="n">
        <v>71</v>
      </c>
      <c r="B72" s="9" t="inlineStr">
        <is>
          <t>ICDM</t>
        </is>
      </c>
      <c r="C72" s="8" t="inlineStr">
        <is>
          <t>B</t>
        </is>
      </c>
      <c r="D72" s="12" t="inlineStr">
        <is>
          <t>10 页（含 refs）</t>
        </is>
      </c>
      <c r="E72" s="8" t="inlineStr">
        <is>
          <t>双盲</t>
        </is>
      </c>
      <c r="F72" s="12" t="inlineStr">
        <is>
          <t>待确认</t>
        </is>
      </c>
      <c r="G72" s="8" t="inlineStr">
        <is>
          <t>A*</t>
        </is>
      </c>
      <c r="H72" s="8" t="inlineStr">
        <is>
          <t>B</t>
        </is>
      </c>
      <c r="I72" s="10" t="inlineStr">
        <is>
          <t>不限</t>
        </is>
      </c>
      <c r="J72" s="8" t="inlineStr">
        <is>
          <t>已核实</t>
        </is>
      </c>
      <c r="K72" s="10" t="inlineStr">
        <is>
          <t>https://icdm2027-website.onrender.com/</t>
        </is>
      </c>
      <c r="L72" s="10" t="inlineStr">
        <is>
          <t>IEEE 主办，另有短论文与 demo track；核查:日期页已公布，CFP正文标注coming soon</t>
        </is>
      </c>
    </row>
    <row r="73" ht="28" customHeight="1">
      <c r="A73" s="8" t="n">
        <v>72</v>
      </c>
      <c r="B73" s="9" t="inlineStr">
        <is>
          <t>ICDT</t>
        </is>
      </c>
      <c r="C73" s="8" t="inlineStr">
        <is>
          <t>B</t>
        </is>
      </c>
      <c r="D73" s="12" t="inlineStr">
        <is>
          <t>待确认</t>
        </is>
      </c>
      <c r="E73" s="8" t="inlineStr">
        <is>
          <t>待确认</t>
        </is>
      </c>
      <c r="F73" s="12" t="inlineStr">
        <is>
          <t>待确认</t>
        </is>
      </c>
      <c r="G73" s="8" t="inlineStr">
        <is>
          <t>A</t>
        </is>
      </c>
      <c r="H73" s="8" t="inlineStr">
        <is>
          <t>B</t>
        </is>
      </c>
      <c r="I73" s="10" t="inlineStr">
        <is>
          <t>不限</t>
        </is>
      </c>
      <c r="J73" s="8" t="inlineStr">
        <is>
          <t>2027CFP未发布</t>
        </is>
      </c>
      <c r="K73" s="10" t="inlineStr">
        <is>
          <t>https://edbticdt2027.github.io/</t>
        </is>
      </c>
      <c r="L73" s="10" t="inlineStr">
        <is>
          <t>LIPIcs 开放获取出版；核查:官网仅落地页，无CFP入口；全部轮次 轮:2026-03-11 / 轮:2026-09-11</t>
        </is>
      </c>
    </row>
    <row r="74" ht="28" customHeight="1">
      <c r="A74" s="8" t="n">
        <v>73</v>
      </c>
      <c r="B74" s="9" t="inlineStr">
        <is>
          <t>PODS</t>
        </is>
      </c>
      <c r="C74" s="8" t="inlineStr">
        <is>
          <t>B</t>
        </is>
      </c>
      <c r="D74" s="12" t="inlineStr">
        <is>
          <t>待确认</t>
        </is>
      </c>
      <c r="E74" s="8" t="inlineStr">
        <is>
          <t>待确认</t>
        </is>
      </c>
      <c r="F74" s="12" t="inlineStr">
        <is>
          <t>待确认</t>
        </is>
      </c>
      <c r="G74" s="8" t="inlineStr">
        <is>
          <t>A*</t>
        </is>
      </c>
      <c r="H74" s="8" t="inlineStr">
        <is>
          <t>A</t>
        </is>
      </c>
      <c r="I74" s="10" t="inlineStr">
        <is>
          <t>不限</t>
        </is>
      </c>
      <c r="J74" s="8" t="inlineStr">
        <is>
          <t>已核实</t>
        </is>
      </c>
      <c r="K74" s="10" t="inlineStr">
        <is>
          <t>https://2027.sigmod.org/calls_papers_important_dates.shtml</t>
        </is>
      </c>
      <c r="L74" s="10" t="inlineStr">
        <is>
          <t>与 SIGMOD 同期同地举办；核查:两轮制，此为第2轮周期；第1轮5月已过；全部轮次 First Submission Cycle:2026-05-31 / Second Submission Cycle:2026-12-11</t>
        </is>
      </c>
    </row>
    <row r="75" ht="28" customHeight="1">
      <c r="A75" s="8" t="n">
        <v>74</v>
      </c>
      <c r="B75" s="9" t="inlineStr">
        <is>
          <t>RecSys</t>
        </is>
      </c>
      <c r="C75" s="8" t="inlineStr">
        <is>
          <t>B</t>
        </is>
      </c>
      <c r="D75" s="12" t="inlineStr">
        <is>
          <t>8 页 + refs</t>
        </is>
      </c>
      <c r="E75" s="8" t="inlineStr">
        <is>
          <t>双盲</t>
        </is>
      </c>
      <c r="F75" s="12" t="inlineStr">
        <is>
          <t>OpenReview</t>
        </is>
      </c>
      <c r="G75" s="8" t="inlineStr">
        <is>
          <t>A</t>
        </is>
      </c>
      <c r="H75" s="8" t="inlineStr">
        <is>
          <t>B</t>
        </is>
      </c>
      <c r="I75" s="10" t="inlineStr">
        <is>
          <t>不限</t>
        </is>
      </c>
      <c r="J75" s="8" t="inlineStr">
        <is>
          <t>2027CFP未发布</t>
        </is>
      </c>
      <c r="K75" s="10" t="inlineStr">
        <is>
          <t>https://recsys.acm.org/recsys27/</t>
        </is>
      </c>
      <c r="L75" s="10" t="inlineStr">
        <is>
          <t>含 industrial track 与 Challenge；核查:官网仅会议信息，CFP页404</t>
        </is>
      </c>
    </row>
    <row r="76" ht="28" customHeight="1">
      <c r="A76" s="8" t="n">
        <v>75</v>
      </c>
      <c r="B76" s="9" t="inlineStr">
        <is>
          <t>WSDM</t>
        </is>
      </c>
      <c r="C76" s="8" t="inlineStr">
        <is>
          <t>B</t>
        </is>
      </c>
      <c r="D76" s="12" t="inlineStr">
        <is>
          <t>待确认</t>
        </is>
      </c>
      <c r="E76" s="8" t="inlineStr">
        <is>
          <t>双盲</t>
        </is>
      </c>
      <c r="F76" s="12" t="inlineStr">
        <is>
          <t>待确认</t>
        </is>
      </c>
      <c r="G76" s="8" t="inlineStr">
        <is>
          <t>A</t>
        </is>
      </c>
      <c r="H76" s="8" t="inlineStr">
        <is>
          <t>A</t>
        </is>
      </c>
      <c r="I76" s="10" t="inlineStr">
        <is>
          <t>10 篇</t>
        </is>
      </c>
      <c r="J76" s="8" t="inlineStr">
        <is>
          <t>已核实</t>
        </is>
      </c>
      <c r="K76" s="10" t="inlineStr">
        <is>
          <t>https://wsdm-conference.org/2027/cffp.html</t>
        </is>
      </c>
      <c r="L76" s="10" t="inlineStr">
        <is>
          <t>接收率偏低，偏重实证与工业数据；核查:摘要8月17日已过；正文截稿为2026-08-24</t>
        </is>
      </c>
    </row>
    <row r="77" ht="28" customHeight="1">
      <c r="A77" s="8" t="n">
        <v>76</v>
      </c>
      <c r="B77" s="9" t="inlineStr">
        <is>
          <t>DATE</t>
        </is>
      </c>
      <c r="C77" s="8" t="inlineStr">
        <is>
          <t>B</t>
        </is>
      </c>
      <c r="D77" s="12" t="inlineStr">
        <is>
          <t>6 页</t>
        </is>
      </c>
      <c r="E77" s="8" t="inlineStr">
        <is>
          <t>待确认</t>
        </is>
      </c>
      <c r="F77" s="12" t="inlineStr">
        <is>
          <t>官网自建</t>
        </is>
      </c>
      <c r="G77" s="8" t="inlineStr">
        <is>
          <t>A</t>
        </is>
      </c>
      <c r="H77" s="8" t="inlineStr">
        <is>
          <t>B</t>
        </is>
      </c>
      <c r="I77" s="10" t="inlineStr">
        <is>
          <t>不限</t>
        </is>
      </c>
      <c r="J77" s="8" t="inlineStr">
        <is>
          <t>已核实</t>
        </is>
      </c>
      <c r="K77" s="10" t="inlineStr">
        <is>
          <t>https://www.date-conference.com/DATE2027-Call-for-Papers.pdf</t>
        </is>
      </c>
      <c r="L77" s="10" t="inlineStr">
        <is>
          <t>双栏 6 页，含 design/EDA/test；核查:9月13日注册摘要，9月20日全文截稿</t>
        </is>
      </c>
    </row>
    <row r="78" ht="28" customHeight="1">
      <c r="A78" s="8" t="n">
        <v>77</v>
      </c>
      <c r="B78" s="9" t="inlineStr">
        <is>
          <t>FPGA</t>
        </is>
      </c>
      <c r="C78" s="8" t="inlineStr">
        <is>
          <t>B</t>
        </is>
      </c>
      <c r="D78" s="12" t="inlineStr">
        <is>
          <t>待确认</t>
        </is>
      </c>
      <c r="E78" s="8" t="inlineStr">
        <is>
          <t>待确认</t>
        </is>
      </c>
      <c r="F78" s="12" t="inlineStr">
        <is>
          <t>HotCRP</t>
        </is>
      </c>
      <c r="G78" s="8" t="inlineStr">
        <is>
          <t>N</t>
        </is>
      </c>
      <c r="H78" s="8" t="inlineStr">
        <is>
          <t>A</t>
        </is>
      </c>
      <c r="I78" s="10" t="inlineStr">
        <is>
          <t>不限</t>
        </is>
      </c>
      <c r="J78" s="8" t="inlineStr">
        <is>
          <t>已核实</t>
        </is>
      </c>
      <c r="K78" s="10" t="inlineStr">
        <is>
          <t>https://www.isfpga.org/</t>
        </is>
      </c>
      <c r="L78" s="10" t="inlineStr">
        <is>
          <t>ACM/SIGDA 主办，规模小接收率低；核查:摘要10月1日；正文10月8日，均无延期</t>
        </is>
      </c>
    </row>
    <row r="79" ht="28" customHeight="1">
      <c r="A79" s="8" t="n">
        <v>78</v>
      </c>
      <c r="B79" s="9" t="inlineStr">
        <is>
          <t>HiPEAC</t>
        </is>
      </c>
      <c r="C79" s="8" t="inlineStr">
        <is>
          <t>B</t>
        </is>
      </c>
      <c r="D79" s="12" t="inlineStr">
        <is>
          <t>待确认</t>
        </is>
      </c>
      <c r="E79" s="8" t="inlineStr">
        <is>
          <t>待确认</t>
        </is>
      </c>
      <c r="F79" s="12" t="inlineStr">
        <is>
          <t>待确认</t>
        </is>
      </c>
      <c r="G79" s="8" t="inlineStr">
        <is>
          <t>—</t>
        </is>
      </c>
      <c r="H79" s="8" t="inlineStr">
        <is>
          <t>—</t>
        </is>
      </c>
      <c r="I79" s="10" t="inlineStr">
        <is>
          <t>不限</t>
        </is>
      </c>
      <c r="J79" s="8" t="inlineStr">
        <is>
          <t>已核实</t>
        </is>
      </c>
      <c r="K79" s="10" t="inlineStr">
        <is>
          <t>https://www.hipeac.net/2027/glasgow/</t>
        </is>
      </c>
      <c r="L79" s="10" t="inlineStr">
        <is>
          <t>与 HiPEAC 年会同期，偏体系结构与编译；核查:journal-first 模式，投稿ACM TACO；6/1前投稿方可入选2027</t>
        </is>
      </c>
    </row>
    <row r="80" ht="28" customHeight="1">
      <c r="A80" s="8" t="n">
        <v>79</v>
      </c>
      <c r="B80" s="9" t="inlineStr">
        <is>
          <t>ICDCS</t>
        </is>
      </c>
      <c r="C80" s="8" t="inlineStr">
        <is>
          <t>B</t>
        </is>
      </c>
      <c r="D80" s="12" t="inlineStr">
        <is>
          <t>10 页（含 refs）</t>
        </is>
      </c>
      <c r="E80" s="8" t="inlineStr">
        <is>
          <t>双盲</t>
        </is>
      </c>
      <c r="F80" s="12" t="inlineStr">
        <is>
          <t>待确认</t>
        </is>
      </c>
      <c r="G80" s="8" t="inlineStr">
        <is>
          <t>A</t>
        </is>
      </c>
      <c r="H80" s="8" t="inlineStr">
        <is>
          <t>B</t>
        </is>
      </c>
      <c r="I80" s="10" t="inlineStr">
        <is>
          <t>不限</t>
        </is>
      </c>
      <c r="J80" s="8" t="inlineStr">
        <is>
          <t>2027CFP未发布</t>
        </is>
      </c>
      <c r="K80" s="10" t="inlineStr">
        <is>
          <t>https://icdcs2027.icdcs.org/</t>
        </is>
      </c>
      <c r="L80" s="10" t="inlineStr">
        <is>
          <t>IEEE 主办，含 poster/demo；核查:官网仅公布会期2027-07-05至08，所有日期TBD</t>
        </is>
      </c>
    </row>
    <row r="81" ht="28" customHeight="1">
      <c r="A81" s="8" t="n">
        <v>80</v>
      </c>
      <c r="B81" s="9" t="inlineStr">
        <is>
          <t>ICS</t>
        </is>
      </c>
      <c r="C81" s="8" t="inlineStr">
        <is>
          <t>B</t>
        </is>
      </c>
      <c r="D81" s="12" t="inlineStr">
        <is>
          <t>待确认</t>
        </is>
      </c>
      <c r="E81" s="8" t="inlineStr">
        <is>
          <t>待确认</t>
        </is>
      </c>
      <c r="F81" s="12" t="inlineStr">
        <is>
          <t>待确认</t>
        </is>
      </c>
      <c r="G81" s="8" t="inlineStr">
        <is>
          <t>A</t>
        </is>
      </c>
      <c r="H81" s="8" t="inlineStr">
        <is>
          <t>B</t>
        </is>
      </c>
      <c r="I81" s="10" t="inlineStr">
        <is>
          <t>不限</t>
        </is>
      </c>
      <c r="J81" s="8" t="inlineStr">
        <is>
          <t>已核实</t>
        </is>
      </c>
      <c r="K81" s="10" t="inlineStr">
        <is>
          <t>https://klab-ai3.github.io/ics2027/</t>
        </is>
      </c>
      <c r="L81" s="10" t="inlineStr">
        <is>
          <t>ACM SIGARCH 主办，与 HPC 社区重合；核查:摘要2026-12-01；早期拒稿2027-02-11</t>
        </is>
      </c>
    </row>
    <row r="82" ht="28" customHeight="1">
      <c r="A82" s="8" t="n">
        <v>81</v>
      </c>
      <c r="B82" s="9" t="inlineStr">
        <is>
          <t>IEEE/ACM CGO</t>
        </is>
      </c>
      <c r="C82" s="8" t="inlineStr">
        <is>
          <t>B</t>
        </is>
      </c>
      <c r="D82" s="12" t="inlineStr">
        <is>
          <t>10 页 + refs</t>
        </is>
      </c>
      <c r="E82" s="8" t="inlineStr">
        <is>
          <t>双盲</t>
        </is>
      </c>
      <c r="F82" s="12" t="inlineStr">
        <is>
          <t>HotCRP</t>
        </is>
      </c>
      <c r="G82" s="8" t="inlineStr">
        <is>
          <t>A</t>
        </is>
      </c>
      <c r="H82" s="8" t="inlineStr">
        <is>
          <t>B</t>
        </is>
      </c>
      <c r="I82" s="10" t="inlineStr">
        <is>
          <t>不限</t>
        </is>
      </c>
      <c r="J82" s="8" t="inlineStr">
        <is>
          <t>已核实</t>
        </is>
      </c>
      <c r="K82" s="10" t="inlineStr">
        <is>
          <t>https://2027.cgo.org/dates</t>
        </is>
      </c>
      <c r="L82" s="10" t="inlineStr">
        <is>
          <t>编译器方向核心会议，规模较小；核查:两轮投稿：R1截稿2026-06-11、通知2026-08-03；全部轮次 First Submission:2026-06-12 / Second Submission:2026-09-11</t>
        </is>
      </c>
    </row>
    <row r="83" ht="28" customHeight="1">
      <c r="A83" s="8" t="n">
        <v>82</v>
      </c>
      <c r="B83" s="9" t="inlineStr">
        <is>
          <t>IPDPS</t>
        </is>
      </c>
      <c r="C83" s="8" t="inlineStr">
        <is>
          <t>B</t>
        </is>
      </c>
      <c r="D83" s="12" t="inlineStr">
        <is>
          <t>待确认</t>
        </is>
      </c>
      <c r="E83" s="8" t="inlineStr">
        <is>
          <t>待确认</t>
        </is>
      </c>
      <c r="F83" s="12" t="inlineStr">
        <is>
          <t>待确认</t>
        </is>
      </c>
      <c r="G83" s="8" t="inlineStr">
        <is>
          <t>A</t>
        </is>
      </c>
      <c r="H83" s="8" t="inlineStr">
        <is>
          <t>B</t>
        </is>
      </c>
      <c r="I83" s="10" t="inlineStr">
        <is>
          <t>8 篇</t>
        </is>
      </c>
      <c r="J83" s="8" t="inlineStr">
        <is>
          <t>已核实</t>
        </is>
      </c>
      <c r="K83" s="10" t="inlineStr">
        <is>
          <t>https://www.ipdps.org/ipdps2027/2027-call-for-papers.html</t>
        </is>
      </c>
      <c r="L83" s="10" t="inlineStr">
        <is>
          <t>IEEE 主办，含 workshop 与 PhD forum；核查:摘要2026-10-01；同作者限投8篇；正文强调现场报告</t>
        </is>
      </c>
    </row>
    <row r="84" ht="28" customHeight="1">
      <c r="A84" s="8" t="n">
        <v>83</v>
      </c>
      <c r="B84" s="9" t="inlineStr">
        <is>
          <t>ISCAS</t>
        </is>
      </c>
      <c r="C84" s="8" t="inlineStr">
        <is>
          <t>B</t>
        </is>
      </c>
      <c r="D84" s="12" t="inlineStr">
        <is>
          <t>4 页 + 1 页 refs</t>
        </is>
      </c>
      <c r="E84" s="8" t="inlineStr">
        <is>
          <t>单盲</t>
        </is>
      </c>
      <c r="F84" s="12" t="inlineStr">
        <is>
          <t>官网自建</t>
        </is>
      </c>
      <c r="G84" s="8" t="inlineStr">
        <is>
          <t>C</t>
        </is>
      </c>
      <c r="H84" s="8" t="inlineStr">
        <is>
          <t>B</t>
        </is>
      </c>
      <c r="I84" s="10" t="inlineStr">
        <is>
          <t>不限</t>
        </is>
      </c>
      <c r="J84" s="8" t="inlineStr">
        <is>
          <t>2027CFP未发布</t>
        </is>
      </c>
      <c r="K84" s="10" t="inlineStr">
        <is>
          <t>https://2027.ieee-iscas.org/</t>
        </is>
      </c>
      <c r="L84" s="10" t="inlineStr">
        <is>
          <t>IEEE CAS 主办，规模极大，审稿周期短；核查:官网仅有会期2027-06-06至09，无截稿信息</t>
        </is>
      </c>
    </row>
    <row r="85" ht="28" customHeight="1">
      <c r="A85" s="8" t="n">
        <v>84</v>
      </c>
      <c r="B85" s="9" t="inlineStr">
        <is>
          <t>MSST</t>
        </is>
      </c>
      <c r="C85" s="8" t="inlineStr">
        <is>
          <t>B</t>
        </is>
      </c>
      <c r="D85" s="12" t="inlineStr">
        <is>
          <t>待确认</t>
        </is>
      </c>
      <c r="E85" s="8" t="inlineStr">
        <is>
          <t>待确认</t>
        </is>
      </c>
      <c r="F85" s="12" t="inlineStr">
        <is>
          <t>待确认</t>
        </is>
      </c>
      <c r="G85" s="8" t="inlineStr">
        <is>
          <t>N</t>
        </is>
      </c>
      <c r="H85" s="8" t="inlineStr">
        <is>
          <t>B</t>
        </is>
      </c>
      <c r="I85" s="10" t="inlineStr">
        <is>
          <t>不限</t>
        </is>
      </c>
      <c r="J85" s="8" t="inlineStr">
        <is>
          <t>2027CFP未发布</t>
        </is>
      </c>
      <c r="K85" s="10" t="inlineStr">
        <is>
          <t>https://www.msstconference.org/</t>
        </is>
      </c>
      <c r="L85" s="10" t="inlineStr">
        <is>
          <t>2027 举办地点尚未公布；核查:仅公布会期2027-05-17至21，官网仍为MSST 2026内容</t>
        </is>
      </c>
    </row>
    <row r="86" ht="28" customHeight="1">
      <c r="A86" s="8" t="n">
        <v>85</v>
      </c>
      <c r="B86" s="9" t="inlineStr">
        <is>
          <t>RTAS</t>
        </is>
      </c>
      <c r="C86" s="8" t="inlineStr">
        <is>
          <t>B</t>
        </is>
      </c>
      <c r="D86" s="12" t="inlineStr">
        <is>
          <t>待确认</t>
        </is>
      </c>
      <c r="E86" s="8" t="inlineStr">
        <is>
          <t>双盲</t>
        </is>
      </c>
      <c r="F86" s="12" t="inlineStr">
        <is>
          <t>HotCRP</t>
        </is>
      </c>
      <c r="G86" s="8" t="inlineStr">
        <is>
          <t>A</t>
        </is>
      </c>
      <c r="H86" s="8" t="inlineStr">
        <is>
          <t>B</t>
        </is>
      </c>
      <c r="I86" s="10" t="inlineStr">
        <is>
          <t>不限</t>
        </is>
      </c>
      <c r="J86" s="8" t="inlineStr">
        <is>
          <t>已核实</t>
        </is>
      </c>
      <c r="K86" s="10" t="inlineStr">
        <is>
          <t>https://2027.rtas.org/cfp/</t>
        </is>
      </c>
      <c r="L86" s="10" t="inlineStr">
        <is>
          <t>与 CPS-IoT Week 同期举办；核查:截稿2026-11-05(AoE, firm)；通知日官网标注 tentative；重查:未现场报告的论文将从 IEEE Xplore 撤除</t>
        </is>
      </c>
    </row>
    <row r="87" ht="28" customHeight="1">
      <c r="A87" s="8" t="n">
        <v>86</v>
      </c>
      <c r="B87" s="9" t="inlineStr">
        <is>
          <t>SIGMETRICS</t>
        </is>
      </c>
      <c r="C87" s="8" t="inlineStr">
        <is>
          <t>B</t>
        </is>
      </c>
      <c r="D87" s="12" t="inlineStr">
        <is>
          <t>12 页 + refs</t>
        </is>
      </c>
      <c r="E87" s="8" t="inlineStr">
        <is>
          <t>双盲</t>
        </is>
      </c>
      <c r="F87" s="12" t="inlineStr">
        <is>
          <t>HotCRP</t>
        </is>
      </c>
      <c r="G87" s="8" t="inlineStr">
        <is>
          <t>A*</t>
        </is>
      </c>
      <c r="H87" s="8" t="inlineStr">
        <is>
          <t>A</t>
        </is>
      </c>
      <c r="I87" s="10" t="inlineStr">
        <is>
          <t>不限</t>
        </is>
      </c>
      <c r="J87" s="8" t="inlineStr">
        <is>
          <t>已核实</t>
        </is>
      </c>
      <c r="K87" s="10" t="inlineStr">
        <is>
          <t>https://www.sigmetrics.org/sigmetrics2027/</t>
        </is>
      </c>
      <c r="L87" s="10" t="inlineStr">
        <is>
          <t>常与 Performance 合办；核查:三轮投稿制，夏/秋轮已过，末轮截稿2027-01-11；全部轮次 summer round:2026-07-11 / fall round:2026-10-10 / winter round:2027-01-12</t>
        </is>
      </c>
    </row>
    <row r="88" ht="28" customHeight="1">
      <c r="A88" s="8" t="n">
        <v>87</v>
      </c>
      <c r="B88" s="9" t="inlineStr">
        <is>
          <t>SPAA</t>
        </is>
      </c>
      <c r="C88" s="8" t="inlineStr">
        <is>
          <t>B</t>
        </is>
      </c>
      <c r="D88" s="12" t="inlineStr">
        <is>
          <t>10 页 + refs</t>
        </is>
      </c>
      <c r="E88" s="8" t="inlineStr">
        <is>
          <t>单盲</t>
        </is>
      </c>
      <c r="F88" s="12" t="inlineStr">
        <is>
          <t>HotCRP</t>
        </is>
      </c>
      <c r="G88" s="8" t="inlineStr">
        <is>
          <t>B</t>
        </is>
      </c>
      <c r="H88" s="8" t="inlineStr">
        <is>
          <t>B</t>
        </is>
      </c>
      <c r="I88" s="10" t="inlineStr">
        <is>
          <t>不限</t>
        </is>
      </c>
      <c r="J88" s="8" t="inlineStr">
        <is>
          <t>已核实</t>
        </is>
      </c>
      <c r="K88" s="10" t="inlineStr">
        <is>
          <t>https://spaa.acm.org/spaa-2027-call-for-papers/</t>
        </is>
      </c>
      <c r="L88" s="10" t="inlineStr">
        <is>
          <t>理论会议，纯证明型投稿为主；核查:两轮投稿，第二轮截稿2027-01-29；CFP日期未标年份；全部轮次 Cycle 1:2026-09-26 / Cycle 2:2027-01-30</t>
        </is>
      </c>
    </row>
    <row r="89" ht="28" customHeight="1">
      <c r="A89" s="8" t="n">
        <v>88</v>
      </c>
      <c r="B89" s="9" t="inlineStr">
        <is>
          <t>GROUP</t>
        </is>
      </c>
      <c r="C89" s="8" t="inlineStr">
        <is>
          <t>B</t>
        </is>
      </c>
      <c r="D89" s="12" t="inlineStr">
        <is>
          <t>待确认</t>
        </is>
      </c>
      <c r="E89" s="8" t="inlineStr">
        <is>
          <t>双盲</t>
        </is>
      </c>
      <c r="F89" s="12" t="inlineStr">
        <is>
          <t>待确认</t>
        </is>
      </c>
      <c r="G89" s="8" t="inlineStr">
        <is>
          <t>B</t>
        </is>
      </c>
      <c r="H89" s="8" t="inlineStr">
        <is>
          <t>N</t>
        </is>
      </c>
      <c r="I89" s="10" t="inlineStr">
        <is>
          <t>不限</t>
        </is>
      </c>
      <c r="J89" s="8" t="inlineStr">
        <is>
          <t>已核实</t>
        </is>
      </c>
      <c r="K89" s="10" t="inlineStr">
        <is>
          <t>https://group.acm.org/conferences/group27/</t>
        </is>
      </c>
      <c r="L89" s="10" t="inlineStr">
        <is>
          <t>论文现多刊于 PACM HCI；核查:两轮投稿均已截止；官网称线下举办但未明示作者到场要求；全部轮次 Full Paper First Wave Submissions:2025-07-16 / Full Paper Second Wave Submissions (extended):2026-04-01</t>
        </is>
      </c>
    </row>
    <row r="90" ht="28" customHeight="1">
      <c r="A90" s="8" t="n">
        <v>89</v>
      </c>
      <c r="B90" s="9" t="inlineStr">
        <is>
          <t>ICWSM</t>
        </is>
      </c>
      <c r="C90" s="8" t="inlineStr">
        <is>
          <t>B</t>
        </is>
      </c>
      <c r="D90" s="12" t="inlineStr">
        <is>
          <t>待确认</t>
        </is>
      </c>
      <c r="E90" s="8" t="inlineStr">
        <is>
          <t>双盲</t>
        </is>
      </c>
      <c r="F90" s="12" t="inlineStr">
        <is>
          <t>OpenReview</t>
        </is>
      </c>
      <c r="G90" s="8" t="inlineStr">
        <is>
          <t>A</t>
        </is>
      </c>
      <c r="H90" s="8" t="inlineStr">
        <is>
          <t>N</t>
        </is>
      </c>
      <c r="I90" s="10" t="inlineStr">
        <is>
          <t>不限</t>
        </is>
      </c>
      <c r="J90" s="8" t="inlineStr">
        <is>
          <t>2027CFP未发布</t>
        </is>
      </c>
      <c r="K90" s="10" t="inlineStr">
        <is>
          <t>https://www.icwsm.org/2027/</t>
        </is>
      </c>
      <c r="L90" s="10" t="inlineStr">
        <is>
          <t>AAAI 主办，数据集类论文另设 track；核查:2027主页仅介绍，无投稿日期；CFP子页404；全部轮次 1st Full-paper Deadline:2026-05-16 / 2nd Full-paper Deadline:2026-09-16 / 3rd Full-paper Deadline:2027-01-16</t>
        </is>
      </c>
    </row>
    <row r="91" ht="28" customHeight="1">
      <c r="A91" s="8" t="n">
        <v>90</v>
      </c>
      <c r="B91" s="9" t="inlineStr">
        <is>
          <t>IUI</t>
        </is>
      </c>
      <c r="C91" s="8" t="inlineStr">
        <is>
          <t>B</t>
        </is>
      </c>
      <c r="D91" s="12" t="inlineStr">
        <is>
          <t>待确认</t>
        </is>
      </c>
      <c r="E91" s="8" t="inlineStr">
        <is>
          <t>双盲</t>
        </is>
      </c>
      <c r="F91" s="12" t="inlineStr">
        <is>
          <t>待确认</t>
        </is>
      </c>
      <c r="G91" s="8" t="inlineStr">
        <is>
          <t>A</t>
        </is>
      </c>
      <c r="H91" s="8" t="inlineStr">
        <is>
          <t>B</t>
        </is>
      </c>
      <c r="I91" s="10" t="inlineStr">
        <is>
          <t>不限</t>
        </is>
      </c>
      <c r="J91" s="8" t="inlineStr">
        <is>
          <t>已核实</t>
        </is>
      </c>
      <c r="K91" s="10" t="inlineStr">
        <is>
          <t>https://iui.acm.org/2027/call-for-papers/</t>
        </is>
      </c>
      <c r="L91" s="10" t="inlineStr">
        <is>
          <t>偏 HCI，重用户研究与人机协作实验；核查:截稿2026-08-20已过；须至少一位作者注册并现场报告</t>
        </is>
      </c>
    </row>
    <row r="92" ht="28" customHeight="1">
      <c r="A92" s="8" t="n">
        <v>91</v>
      </c>
      <c r="B92" s="9" t="inlineStr">
        <is>
          <t>MobileHCI</t>
        </is>
      </c>
      <c r="C92" s="8" t="inlineStr">
        <is>
          <t>B</t>
        </is>
      </c>
      <c r="D92" s="12" t="inlineStr">
        <is>
          <t>待确认</t>
        </is>
      </c>
      <c r="E92" s="8" t="inlineStr">
        <is>
          <t>双盲</t>
        </is>
      </c>
      <c r="F92" s="12" t="inlineStr">
        <is>
          <t>待确认</t>
        </is>
      </c>
      <c r="G92" s="8" t="inlineStr">
        <is>
          <t>—</t>
        </is>
      </c>
      <c r="H92" s="8" t="inlineStr">
        <is>
          <t>—</t>
        </is>
      </c>
      <c r="I92" s="10" t="inlineStr">
        <is>
          <t>不限</t>
        </is>
      </c>
      <c r="J92" s="8" t="inlineStr">
        <is>
          <t>已核实</t>
        </is>
      </c>
      <c r="K92" s="10" t="inlineStr">
        <is>
          <t>https://mobilehci.acm.org/2027/</t>
        </is>
      </c>
      <c r="L92" s="10" t="inlineStr">
        <is>
          <t>与 MobileHCI 系列同源的 SIGCHI 会议；核查:摘要2027-02-10；仅要求至少一位作者全额注册，最终通知06-17</t>
        </is>
      </c>
    </row>
    <row r="93" ht="28" customHeight="1">
      <c r="A93" s="8" t="n">
        <v>92</v>
      </c>
      <c r="B93" s="9" t="inlineStr">
        <is>
          <t>PerCom</t>
        </is>
      </c>
      <c r="C93" s="8" t="inlineStr">
        <is>
          <t>B</t>
        </is>
      </c>
      <c r="D93" s="12" t="inlineStr">
        <is>
          <t>待确认</t>
        </is>
      </c>
      <c r="E93" s="8" t="inlineStr">
        <is>
          <t>单盲</t>
        </is>
      </c>
      <c r="F93" s="12" t="inlineStr">
        <is>
          <t>HotCRP</t>
        </is>
      </c>
      <c r="G93" s="8" t="inlineStr">
        <is>
          <t>A*</t>
        </is>
      </c>
      <c r="H93" s="8" t="inlineStr">
        <is>
          <t>B</t>
        </is>
      </c>
      <c r="I93" s="10" t="inlineStr">
        <is>
          <t>不限</t>
        </is>
      </c>
      <c r="J93" s="8" t="inlineStr">
        <is>
          <t>已核实</t>
        </is>
      </c>
      <c r="K93" s="10" t="inlineStr">
        <is>
          <t>https://percom.org/call-for-papers/</t>
        </is>
      </c>
      <c r="L93" s="10" t="inlineStr">
        <is>
          <t>IEEE 主办，含 workshop 与 demo；核查:截稿由9/11延至9/18 AoE；禁远程与预录视频</t>
        </is>
      </c>
    </row>
    <row r="94" ht="28" customHeight="1">
      <c r="A94" s="8" t="n">
        <v>93</v>
      </c>
      <c r="B94" s="9" t="inlineStr">
        <is>
          <t>ISMB</t>
        </is>
      </c>
      <c r="C94" s="8" t="inlineStr">
        <is>
          <t>B</t>
        </is>
      </c>
      <c r="D94" s="12" t="inlineStr">
        <is>
          <t>待确认</t>
        </is>
      </c>
      <c r="E94" s="8" t="inlineStr">
        <is>
          <t>待确认</t>
        </is>
      </c>
      <c r="F94" s="12" t="inlineStr">
        <is>
          <t>待确认</t>
        </is>
      </c>
      <c r="G94" s="8" t="inlineStr">
        <is>
          <t>—</t>
        </is>
      </c>
      <c r="H94" s="8" t="inlineStr">
        <is>
          <t>—</t>
        </is>
      </c>
      <c r="I94" s="10" t="inlineStr">
        <is>
          <t>不限</t>
        </is>
      </c>
      <c r="J94" s="8" t="inlineStr">
        <is>
          <t>2027CFP未发布</t>
        </is>
      </c>
      <c r="K94" s="10" t="inlineStr">
        <is>
          <t>https://www.iscb.org/ismbeccb2027/key-dates</t>
        </is>
      </c>
      <c r="L94" s="10" t="inlineStr">
        <is>
          <t>Proceedings 刊于 Bioinformatics；核查:Key Dates页栏目为空；官网称线下+线上双轨</t>
        </is>
      </c>
    </row>
    <row r="95" ht="28" customHeight="1">
      <c r="A95" s="8" t="n">
        <v>94</v>
      </c>
      <c r="B95" s="9" t="inlineStr">
        <is>
          <t>MICCAI</t>
        </is>
      </c>
      <c r="C95" s="8" t="inlineStr">
        <is>
          <t>B</t>
        </is>
      </c>
      <c r="D95" s="12" t="inlineStr">
        <is>
          <t>8 页 + refs（LNCS）</t>
        </is>
      </c>
      <c r="E95" s="8" t="inlineStr">
        <is>
          <t>双盲</t>
        </is>
      </c>
      <c r="F95" s="12" t="inlineStr">
        <is>
          <t>CMT</t>
        </is>
      </c>
      <c r="G95" s="8" t="inlineStr">
        <is>
          <t>A</t>
        </is>
      </c>
      <c r="H95" s="8" t="inlineStr">
        <is>
          <t>B</t>
        </is>
      </c>
      <c r="I95" s="10" t="inlineStr">
        <is>
          <t>不限</t>
        </is>
      </c>
      <c r="J95" s="8" t="inlineStr">
        <is>
          <t>2027CFP未发布</t>
        </is>
      </c>
      <c r="K95" s="10" t="inlineStr">
        <is>
          <t>https://conferences.miccai.org/2027/en/</t>
        </is>
      </c>
      <c r="L95" s="10" t="inlineStr">
        <is>
          <t>Springer LNCS 出版，另设 challenges；核查:仅公布会期9/27-10/1，CFP页404未上线</t>
        </is>
      </c>
    </row>
    <row r="96" ht="28" customHeight="1">
      <c r="A96" s="8" t="n">
        <v>95</v>
      </c>
      <c r="B96" s="9" t="inlineStr">
        <is>
          <t>RECOMB</t>
        </is>
      </c>
      <c r="C96" s="8" t="inlineStr">
        <is>
          <t>B</t>
        </is>
      </c>
      <c r="D96" s="12" t="inlineStr">
        <is>
          <t>待确认</t>
        </is>
      </c>
      <c r="E96" s="8" t="inlineStr">
        <is>
          <t>待确认</t>
        </is>
      </c>
      <c r="F96" s="12" t="inlineStr">
        <is>
          <t>待确认</t>
        </is>
      </c>
      <c r="G96" s="8" t="inlineStr">
        <is>
          <t>B</t>
        </is>
      </c>
      <c r="H96" s="8" t="inlineStr">
        <is>
          <t>A</t>
        </is>
      </c>
      <c r="I96" s="10" t="inlineStr">
        <is>
          <t>不限</t>
        </is>
      </c>
      <c r="J96" s="8" t="inlineStr">
        <is>
          <t>2027CFP未发布</t>
        </is>
      </c>
      <c r="K96" s="10" t="inlineStr">
        <is>
          <t>https://recomb.org/recomb2027/</t>
        </is>
      </c>
      <c r="L96" s="10" t="inlineStr">
        <is>
          <t>论文常刊于 JCB 或 LNBI，会议另有摘要 track；核查:仅见会期2027-05-17至20，截稿未公布</t>
        </is>
      </c>
    </row>
    <row r="97" ht="28" customHeight="1">
      <c r="A97" s="8" t="n">
        <v>96</v>
      </c>
      <c r="B97" s="9" t="inlineStr">
        <is>
          <t>CoNEXT</t>
        </is>
      </c>
      <c r="C97" s="8" t="inlineStr">
        <is>
          <t>B</t>
        </is>
      </c>
      <c r="D97" s="12" t="inlineStr">
        <is>
          <t>12 页 + refs</t>
        </is>
      </c>
      <c r="E97" s="8" t="inlineStr">
        <is>
          <t>双盲</t>
        </is>
      </c>
      <c r="F97" s="12" t="inlineStr">
        <is>
          <t>HotCRP</t>
        </is>
      </c>
      <c r="G97" s="8" t="inlineStr">
        <is>
          <t>A</t>
        </is>
      </c>
      <c r="H97" s="8" t="inlineStr">
        <is>
          <t>A</t>
        </is>
      </c>
      <c r="I97" s="10" t="inlineStr">
        <is>
          <t>不限</t>
        </is>
      </c>
      <c r="J97" s="8" t="inlineStr">
        <is>
          <t>已核实</t>
        </is>
      </c>
      <c r="K97" s="10" t="inlineStr">
        <is>
          <t>https://conferences.sigcomm.org/co-next/2027/#!/cfp</t>
        </is>
      </c>
      <c r="L97" s="10" t="inlineStr">
        <is>
          <t>核查:两轮截稿(12/4、2027-06-04)；未提现场要求；全部轮次 December Cycle:2026-12-05 / June Cycle:2027-06-05</t>
        </is>
      </c>
    </row>
    <row r="98" ht="28" customHeight="1">
      <c r="A98" s="8" t="n">
        <v>97</v>
      </c>
      <c r="B98" s="9" t="inlineStr">
        <is>
          <t>IMC</t>
        </is>
      </c>
      <c r="C98" s="8" t="inlineStr">
        <is>
          <t>B</t>
        </is>
      </c>
      <c r="D98" s="12" t="inlineStr">
        <is>
          <t>待确认</t>
        </is>
      </c>
      <c r="E98" s="8" t="inlineStr">
        <is>
          <t>双盲</t>
        </is>
      </c>
      <c r="F98" s="12" t="inlineStr">
        <is>
          <t>HotCRP</t>
        </is>
      </c>
      <c r="G98" s="8" t="inlineStr">
        <is>
          <t>A</t>
        </is>
      </c>
      <c r="H98" s="8" t="inlineStr">
        <is>
          <t>A</t>
        </is>
      </c>
      <c r="I98" s="10" t="inlineStr">
        <is>
          <t>不限</t>
        </is>
      </c>
      <c r="J98" s="8" t="inlineStr">
        <is>
          <t>已核实</t>
        </is>
      </c>
      <c r="K98" s="10" t="inlineStr">
        <is>
          <t>https://conferences.sigcomm.org/imc/2027/cfp/</t>
        </is>
      </c>
      <c r="L98" s="10" t="inlineStr">
        <is>
          <t>偏实测数据，鼓励公开数据集与代码；核查:两轮截稿(11/17、2027-04-07)；未提现场要求；全部轮次 Cycle 1; rebuttal period January 26-February 2, 2027:2026-11-18 / Cycle 2:2027-04-08</t>
        </is>
      </c>
    </row>
    <row r="99" ht="28" customHeight="1">
      <c r="A99" s="8" t="n">
        <v>98</v>
      </c>
      <c r="B99" s="9" t="inlineStr">
        <is>
          <t>MobiSys</t>
        </is>
      </c>
      <c r="C99" s="8" t="inlineStr">
        <is>
          <t>B</t>
        </is>
      </c>
      <c r="D99" s="12" t="inlineStr">
        <is>
          <t>12 页 + refs</t>
        </is>
      </c>
      <c r="E99" s="8" t="inlineStr">
        <is>
          <t>双盲</t>
        </is>
      </c>
      <c r="F99" s="12" t="inlineStr">
        <is>
          <t>HotCRP</t>
        </is>
      </c>
      <c r="G99" s="8" t="inlineStr">
        <is>
          <t>A</t>
        </is>
      </c>
      <c r="H99" s="8" t="inlineStr">
        <is>
          <t>A</t>
        </is>
      </c>
      <c r="I99" s="10" t="inlineStr">
        <is>
          <t>不限</t>
        </is>
      </c>
      <c r="J99" s="8" t="inlineStr">
        <is>
          <t>已核实</t>
        </is>
      </c>
      <c r="K99" s="10" t="inlineStr">
        <is>
          <t>https://www.sigmobile.org/mobisys/2027/call_for_papers/</t>
        </is>
      </c>
      <c r="L99" s="10" t="inlineStr">
        <is>
          <t>重视原型系统与在野实测；核查:须至少一位作者按非学生费率注册并现场报告</t>
        </is>
      </c>
    </row>
    <row r="100" ht="28" customHeight="1">
      <c r="A100" s="8" t="n">
        <v>99</v>
      </c>
      <c r="B100" s="9" t="inlineStr">
        <is>
          <t>NOSSDAV</t>
        </is>
      </c>
      <c r="C100" s="8" t="inlineStr">
        <is>
          <t>B</t>
        </is>
      </c>
      <c r="D100" s="12" t="inlineStr">
        <is>
          <t>6 页 + refs</t>
        </is>
      </c>
      <c r="E100" s="8" t="inlineStr">
        <is>
          <t>待确认</t>
        </is>
      </c>
      <c r="F100" s="12" t="inlineStr">
        <is>
          <t>HotCRP</t>
        </is>
      </c>
      <c r="G100" s="8" t="inlineStr">
        <is>
          <t>B</t>
        </is>
      </c>
      <c r="H100" s="8" t="inlineStr">
        <is>
          <t>B</t>
        </is>
      </c>
      <c r="I100" s="10" t="inlineStr">
        <is>
          <t>不限</t>
        </is>
      </c>
      <c r="J100" s="8" t="inlineStr">
        <is>
          <t>已核实</t>
        </is>
      </c>
      <c r="K100" s="10" t="inlineStr">
        <is>
          <t>https://nossdav.org/2027</t>
        </is>
      </c>
      <c r="L100" s="10" t="inlineStr">
        <is>
          <t>workshop 规模小，接收短文；核查:单轨工作坊；截稿日原文未标年份</t>
        </is>
      </c>
    </row>
    <row r="101" ht="28" customHeight="1">
      <c r="A101" s="8" t="n">
        <v>100</v>
      </c>
      <c r="B101" s="9" t="inlineStr">
        <is>
          <t>SECON</t>
        </is>
      </c>
      <c r="C101" s="8" t="inlineStr">
        <is>
          <t>B</t>
        </is>
      </c>
      <c r="D101" s="12" t="inlineStr">
        <is>
          <t>待确认</t>
        </is>
      </c>
      <c r="E101" s="8" t="inlineStr">
        <is>
          <t>单盲</t>
        </is>
      </c>
      <c r="F101" s="12" t="inlineStr">
        <is>
          <t>待确认</t>
        </is>
      </c>
      <c r="G101" s="8" t="inlineStr">
        <is>
          <t>B</t>
        </is>
      </c>
      <c r="H101" s="8" t="inlineStr">
        <is>
          <t>B</t>
        </is>
      </c>
      <c r="I101" s="10" t="inlineStr">
        <is>
          <t>不限</t>
        </is>
      </c>
      <c r="J101" s="8" t="inlineStr">
        <is>
          <t>已核实</t>
        </is>
      </c>
      <c r="K101" s="10" t="inlineStr">
        <is>
          <t>https://secon2027.ieee-secon.org/</t>
        </is>
      </c>
      <c r="L101" s="10" t="inlineStr">
        <is>
          <t>IEEE 主办，偏无线与物联网实证；核查:会期2027-05-05至07，官网称实体线下会议</t>
        </is>
      </c>
    </row>
    <row r="102" ht="28" customHeight="1">
      <c r="A102" s="8" t="n">
        <v>101</v>
      </c>
      <c r="B102" s="9" t="inlineStr">
        <is>
          <t>SenSys</t>
        </is>
      </c>
      <c r="C102" s="8" t="inlineStr">
        <is>
          <t>B</t>
        </is>
      </c>
      <c r="D102" s="12" t="inlineStr">
        <is>
          <t>12 页 + refs</t>
        </is>
      </c>
      <c r="E102" s="8" t="inlineStr">
        <is>
          <t>双盲</t>
        </is>
      </c>
      <c r="F102" s="12" t="inlineStr">
        <is>
          <t>HotCRP</t>
        </is>
      </c>
      <c r="G102" s="8" t="inlineStr">
        <is>
          <t>A*</t>
        </is>
      </c>
      <c r="H102" s="8" t="inlineStr">
        <is>
          <t>A</t>
        </is>
      </c>
      <c r="I102" s="10" t="inlineStr">
        <is>
          <t>不限</t>
        </is>
      </c>
      <c r="J102" s="8" t="inlineStr">
        <is>
          <t>已核实</t>
        </is>
      </c>
      <c r="K102" s="10" t="inlineStr">
        <is>
          <t>https://sensys.acm.org/2027/</t>
        </is>
      </c>
      <c r="L102" s="10" t="inlineStr">
        <is>
          <t>强调真实部署，常设 poster/demo；核查:两轮截稿；一轮6/5已过，此为二轮；全部轮次 1st deadline:2026-06-06 / 2nd deadline:2026-11-06</t>
        </is>
      </c>
    </row>
    <row r="103" ht="28" customHeight="1">
      <c r="A103" s="8" t="n">
        <v>102</v>
      </c>
      <c r="B103" s="9" t="inlineStr">
        <is>
          <t>CHES</t>
        </is>
      </c>
      <c r="C103" s="8" t="inlineStr">
        <is>
          <t>B</t>
        </is>
      </c>
      <c r="D103" s="12" t="inlineStr">
        <is>
          <t>20 页 + refs</t>
        </is>
      </c>
      <c r="E103" s="8" t="inlineStr">
        <is>
          <t>待确认</t>
        </is>
      </c>
      <c r="F103" s="12" t="inlineStr">
        <is>
          <t>HotCRP</t>
        </is>
      </c>
      <c r="G103" s="8" t="inlineStr">
        <is>
          <t>A</t>
        </is>
      </c>
      <c r="H103" s="8" t="inlineStr">
        <is>
          <t>A</t>
        </is>
      </c>
      <c r="I103" s="10" t="inlineStr">
        <is>
          <t>不限</t>
        </is>
      </c>
      <c r="J103" s="8" t="inlineStr">
        <is>
          <t>已核实</t>
        </is>
      </c>
      <c r="K103" s="10" t="inlineStr">
        <is>
          <t>https://ches.iacr.org/2027/</t>
        </is>
      </c>
      <c r="L103" s="10" t="inlineStr">
        <is>
          <t>IACR 主办，论文刊于 TCHES；核查:TCHES全年四期滚动，此为最近一期；全部轮次 Schedule for TCHES Volume 2027/1:2026-07-16 / Schedule for TCHES Volume 2027/2:2026-10-16 / Schedule for TCHES Volume 2027/3:2027-01-16 / Schedule for TCHES Volume 2027/4:2027-04-16</t>
        </is>
      </c>
    </row>
    <row r="104" ht="28" customHeight="1">
      <c r="A104" s="8" t="n">
        <v>103</v>
      </c>
      <c r="B104" s="9" t="inlineStr">
        <is>
          <t>CSFW</t>
        </is>
      </c>
      <c r="C104" s="8" t="inlineStr">
        <is>
          <t>B</t>
        </is>
      </c>
      <c r="D104" s="12" t="inlineStr">
        <is>
          <t>待确认</t>
        </is>
      </c>
      <c r="E104" s="8" t="inlineStr">
        <is>
          <t>待确认</t>
        </is>
      </c>
      <c r="F104" s="12" t="inlineStr">
        <is>
          <t>待确认</t>
        </is>
      </c>
      <c r="G104" s="8" t="inlineStr">
        <is>
          <t>A</t>
        </is>
      </c>
      <c r="H104" s="8" t="inlineStr">
        <is>
          <t>B</t>
        </is>
      </c>
      <c r="I104" s="10" t="inlineStr">
        <is>
          <t>不限</t>
        </is>
      </c>
      <c r="J104" s="8" t="inlineStr">
        <is>
          <t>已核实</t>
        </is>
      </c>
      <c r="K104" s="10" t="inlineStr">
        <is>
          <t>https://www.ieee-security.org/TC/CSF2027/</t>
        </is>
      </c>
      <c r="L104" s="10" t="inlineStr">
        <is>
          <t>CCF 归入体系结构，实为安全形式化方向；核查:三轮截稿；夏/秋轮已过，此为冬季轮；全部轮次 Summer:2026-08-04 / Fall:2026-10-16 / Winter:2027-01-29</t>
        </is>
      </c>
    </row>
    <row r="105" ht="28" customHeight="1">
      <c r="A105" s="8" t="n">
        <v>104</v>
      </c>
      <c r="B105" s="9" t="inlineStr">
        <is>
          <t>DSN</t>
        </is>
      </c>
      <c r="C105" s="8" t="inlineStr">
        <is>
          <t>B</t>
        </is>
      </c>
      <c r="D105" s="12" t="inlineStr">
        <is>
          <t>待确认</t>
        </is>
      </c>
      <c r="E105" s="8" t="inlineStr">
        <is>
          <t>待确认</t>
        </is>
      </c>
      <c r="F105" s="12" t="inlineStr">
        <is>
          <t>待确认</t>
        </is>
      </c>
      <c r="G105" s="8" t="inlineStr">
        <is>
          <t>A</t>
        </is>
      </c>
      <c r="H105" s="8" t="inlineStr">
        <is>
          <t>B</t>
        </is>
      </c>
      <c r="I105" s="10" t="inlineStr">
        <is>
          <t>不限</t>
        </is>
      </c>
      <c r="J105" s="8" t="inlineStr">
        <is>
          <t>已核实</t>
        </is>
      </c>
      <c r="K105" s="10" t="inlineStr">
        <is>
          <t>https://dsn2027-berlin.github.io/important-dates/</t>
        </is>
      </c>
      <c r="L105" s="10" t="inlineStr">
        <is>
          <t>与 SRDS 主题邻近，注意区分；核查:Research Track；摘要11/25，含早期拒稿1/26</t>
        </is>
      </c>
    </row>
    <row r="106" ht="28" customHeight="1">
      <c r="A106" s="8" t="n">
        <v>105</v>
      </c>
      <c r="B106" s="9" t="inlineStr">
        <is>
          <t>FSE(IACR)</t>
        </is>
      </c>
      <c r="C106" s="8" t="inlineStr">
        <is>
          <t>B</t>
        </is>
      </c>
      <c r="D106" s="12" t="inlineStr">
        <is>
          <t>待确认</t>
        </is>
      </c>
      <c r="E106" s="8" t="inlineStr">
        <is>
          <t>单盲</t>
        </is>
      </c>
      <c r="F106" s="12" t="inlineStr">
        <is>
          <t>HotCRP</t>
        </is>
      </c>
      <c r="G106" s="8" t="inlineStr">
        <is>
          <t>B</t>
        </is>
      </c>
      <c r="H106" s="8" t="inlineStr">
        <is>
          <t>B</t>
        </is>
      </c>
      <c r="I106" s="10" t="inlineStr">
        <is>
          <t>不限</t>
        </is>
      </c>
      <c r="J106" s="8" t="inlineStr">
        <is>
          <t>已核实</t>
        </is>
      </c>
      <c r="K106" s="10" t="inlineStr">
        <is>
          <t>https://fse.iacr.org/2027/</t>
        </is>
      </c>
      <c r="L106" s="10" t="inlineStr">
        <is>
          <t>注意与软件工程 FSE 同名不同会；核查:投稿经ToSC 2027 Issue 1，通知日未公布；全部轮次 ToSC, Volume 2026, Issue 4 Submission deadline:2026-09-02 / ToSC, Volume 2027, Issue 1 Submission deadline:2026-12-02</t>
        </is>
      </c>
    </row>
    <row r="107" ht="28" customHeight="1">
      <c r="A107" s="8" t="n">
        <v>106</v>
      </c>
      <c r="B107" s="9" t="inlineStr">
        <is>
          <t>PKC</t>
        </is>
      </c>
      <c r="C107" s="8" t="inlineStr">
        <is>
          <t>B</t>
        </is>
      </c>
      <c r="D107" s="12" t="inlineStr">
        <is>
          <t>待确认</t>
        </is>
      </c>
      <c r="E107" s="8" t="inlineStr">
        <is>
          <t>单盲</t>
        </is>
      </c>
      <c r="F107" s="12" t="inlineStr">
        <is>
          <t>HotCRP</t>
        </is>
      </c>
      <c r="G107" s="8" t="inlineStr">
        <is>
          <t>B</t>
        </is>
      </c>
      <c r="H107" s="8" t="inlineStr">
        <is>
          <t>B</t>
        </is>
      </c>
      <c r="I107" s="10" t="inlineStr">
        <is>
          <t>不限</t>
        </is>
      </c>
      <c r="J107" s="8" t="inlineStr">
        <is>
          <t>已核实</t>
        </is>
      </c>
      <c r="K107" s="10" t="inlineStr">
        <is>
          <t>https://pkc.iacr.org/2027/callforpapers.php</t>
        </is>
      </c>
      <c r="L107" s="10" t="inlineStr">
        <is>
          <t>IACR 系列，与 Eurocrypt 主题邻近；核查:两轮评审，10-09首轮通知；仅PC成员限3-4篇</t>
        </is>
      </c>
    </row>
    <row r="108" ht="28" customHeight="1">
      <c r="A108" s="8" t="n">
        <v>107</v>
      </c>
      <c r="B108" s="9" t="inlineStr">
        <is>
          <t>CAiSE</t>
        </is>
      </c>
      <c r="C108" s="8" t="inlineStr">
        <is>
          <t>B</t>
        </is>
      </c>
      <c r="D108" s="12" t="inlineStr">
        <is>
          <t>16 页含 refs</t>
        </is>
      </c>
      <c r="E108" s="8" t="inlineStr">
        <is>
          <t>双盲</t>
        </is>
      </c>
      <c r="F108" s="12" t="inlineStr">
        <is>
          <t>EasyChair</t>
        </is>
      </c>
      <c r="G108" s="8" t="inlineStr">
        <is>
          <t>A</t>
        </is>
      </c>
      <c r="H108" s="8" t="inlineStr">
        <is>
          <t>B</t>
        </is>
      </c>
      <c r="I108" s="10" t="inlineStr">
        <is>
          <t>不限</t>
        </is>
      </c>
      <c r="J108" s="8" t="inlineStr">
        <is>
          <t>已核实</t>
        </is>
      </c>
      <c r="K108" s="10" t="inlineStr">
        <is>
          <t>https://deal.us.es/caise27/calls/dates/</t>
        </is>
      </c>
      <c r="L108" s="10" t="inlineStr">
        <is>
          <t>偏管理信息系统与建模方法；核查:摘要2026-11-04必交；摄影稿2027-03-15；重查:重查失败：CFP 子页 404、首页超时</t>
        </is>
      </c>
    </row>
    <row r="109" ht="28" customHeight="1">
      <c r="A109" s="8" t="n">
        <v>108</v>
      </c>
      <c r="B109" s="9" t="inlineStr">
        <is>
          <t>ECOOP</t>
        </is>
      </c>
      <c r="C109" s="8" t="inlineStr">
        <is>
          <t>B</t>
        </is>
      </c>
      <c r="D109" s="12" t="inlineStr">
        <is>
          <t>待确认</t>
        </is>
      </c>
      <c r="E109" s="8" t="inlineStr">
        <is>
          <t>双盲</t>
        </is>
      </c>
      <c r="F109" s="12" t="inlineStr">
        <is>
          <t>HotCRP</t>
        </is>
      </c>
      <c r="G109" s="8" t="inlineStr">
        <is>
          <t>A</t>
        </is>
      </c>
      <c r="H109" s="8" t="inlineStr">
        <is>
          <t>B</t>
        </is>
      </c>
      <c r="I109" s="10" t="inlineStr">
        <is>
          <t>不限</t>
        </is>
      </c>
      <c r="J109" s="8" t="inlineStr">
        <is>
          <t>已核实</t>
        </is>
      </c>
      <c r="K109" s="10" t="inlineStr">
        <is>
          <t>https://2027.ecoop.org/track/ecoop-2027-technical-papers</t>
        </is>
      </c>
      <c r="L109" s="10" t="inlineStr">
        <is>
          <t>与 OOPSLA 主题高度重叠；核查:两轮投稿：R2截止2027-02-11，通知2027-04-08；重查:Technical Papers 页未写到场要求；全部轮次 Submission R1:2026-11-20 / Submission R2:2027-02-12</t>
        </is>
      </c>
    </row>
    <row r="110" ht="28" customHeight="1">
      <c r="A110" s="8" t="n">
        <v>109</v>
      </c>
      <c r="B110" s="9" t="inlineStr">
        <is>
          <t>ETAPS</t>
        </is>
      </c>
      <c r="C110" s="8" t="inlineStr">
        <is>
          <t>B</t>
        </is>
      </c>
      <c r="D110" s="12" t="inlineStr">
        <is>
          <t>按各子会规定</t>
        </is>
      </c>
      <c r="E110" s="8" t="inlineStr">
        <is>
          <t>待确认</t>
        </is>
      </c>
      <c r="F110" s="12" t="inlineStr">
        <is>
          <t>待确认</t>
        </is>
      </c>
      <c r="G110" s="8" t="inlineStr">
        <is>
          <t>N</t>
        </is>
      </c>
      <c r="H110" s="8" t="inlineStr">
        <is>
          <t>B</t>
        </is>
      </c>
      <c r="I110" s="10" t="inlineStr">
        <is>
          <t>不限</t>
        </is>
      </c>
      <c r="J110" s="8" t="inlineStr">
        <is>
          <t>2027CFP未发布</t>
        </is>
      </c>
      <c r="K110" s="10" t="inlineStr">
        <is>
          <t>https://etaps.org/2027</t>
        </is>
      </c>
      <c r="L110" s="10" t="inlineStr">
        <is>
          <t>非单一投稿口，需选定子会投稿；核查:官网仅公布会期2027-04-10至15，CFP页404，截稿由各成员会议单独发布；全部轮次 ESOP round 1:2026-05-29 / ESOP round 2, FoSSaCS, TACAS, iFS:2026-10-16</t>
        </is>
      </c>
    </row>
    <row r="111" ht="28" customHeight="1">
      <c r="A111" s="8" t="n">
        <v>110</v>
      </c>
      <c r="B111" s="9" t="inlineStr">
        <is>
          <t>HotOS</t>
        </is>
      </c>
      <c r="C111" s="8" t="inlineStr">
        <is>
          <t>B</t>
        </is>
      </c>
      <c r="D111" s="12" t="inlineStr">
        <is>
          <t>5–6 页立场文</t>
        </is>
      </c>
      <c r="E111" s="8" t="inlineStr">
        <is>
          <t>单盲</t>
        </is>
      </c>
      <c r="F111" s="12" t="inlineStr">
        <is>
          <t>HotCRP</t>
        </is>
      </c>
      <c r="G111" s="8" t="inlineStr">
        <is>
          <t>A</t>
        </is>
      </c>
      <c r="H111" s="8" t="inlineStr">
        <is>
          <t>B</t>
        </is>
      </c>
      <c r="I111" s="10" t="inlineStr">
        <is>
          <t>不限</t>
        </is>
      </c>
      <c r="J111" s="8" t="inlineStr">
        <is>
          <t>已核实</t>
        </is>
      </c>
      <c r="K111" s="10" t="inlineStr">
        <is>
          <t>https://sigops.org/s/conferences/hotos/2027/cfp.html</t>
        </is>
      </c>
      <c r="L111" s="10" t="inlineStr">
        <is>
          <t>workshop 性质，重观点轻完整实验；核查:每篇录用论文仅2个参会邀请，注册名额受限</t>
        </is>
      </c>
    </row>
    <row r="112" ht="28" customHeight="1">
      <c r="A112" s="8" t="n">
        <v>111</v>
      </c>
      <c r="B112" s="9" t="inlineStr">
        <is>
          <t>ICFP</t>
        </is>
      </c>
      <c r="C112" s="8" t="inlineStr">
        <is>
          <t>B</t>
        </is>
      </c>
      <c r="D112" s="12" t="inlineStr">
        <is>
          <t>待确认</t>
        </is>
      </c>
      <c r="E112" s="8" t="inlineStr">
        <is>
          <t>双盲</t>
        </is>
      </c>
      <c r="F112" s="12" t="inlineStr">
        <is>
          <t>HotCRP</t>
        </is>
      </c>
      <c r="G112" s="8" t="inlineStr">
        <is>
          <t>A</t>
        </is>
      </c>
      <c r="H112" s="8" t="inlineStr">
        <is>
          <t>B</t>
        </is>
      </c>
      <c r="I112" s="10" t="inlineStr">
        <is>
          <t>不限</t>
        </is>
      </c>
      <c r="J112" s="8" t="inlineStr">
        <is>
          <t>已核实</t>
        </is>
      </c>
      <c r="K112" s="10" t="inlineStr">
        <is>
          <t>https://icfp27.sigplan.org/</t>
        </is>
      </c>
      <c r="L112" s="10" t="inlineStr">
        <is>
          <t>PACMPL 连续出版，可多轮修改；核查:05-07为有条件录用通知，06-11为最终通知</t>
        </is>
      </c>
    </row>
    <row r="113" ht="28" customHeight="1">
      <c r="A113" s="8" t="n">
        <v>112</v>
      </c>
      <c r="B113" s="9" t="inlineStr">
        <is>
          <t>ICPC</t>
        </is>
      </c>
      <c r="C113" s="8" t="inlineStr">
        <is>
          <t>B</t>
        </is>
      </c>
      <c r="D113" s="12" t="inlineStr">
        <is>
          <t>10 页 + refs</t>
        </is>
      </c>
      <c r="E113" s="8" t="inlineStr">
        <is>
          <t>双盲</t>
        </is>
      </c>
      <c r="F113" s="12" t="inlineStr">
        <is>
          <t>待确认</t>
        </is>
      </c>
      <c r="G113" s="8" t="inlineStr">
        <is>
          <t>A</t>
        </is>
      </c>
      <c r="H113" s="8" t="inlineStr">
        <is>
          <t>B</t>
        </is>
      </c>
      <c r="I113" s="10" t="inlineStr">
        <is>
          <t>不限</t>
        </is>
      </c>
      <c r="J113" s="8" t="inlineStr">
        <is>
          <t>已核实</t>
        </is>
      </c>
      <c r="K113" s="10" t="inlineStr">
        <is>
          <t>https://conf.researchr.org/track/icpc-2027/icpc-2027-research-track</t>
        </is>
      </c>
      <c r="L113" s="10" t="inlineStr">
        <is>
          <t>与 MSR 主题重叠，偏理解与实证；核查:研究track摘要2026-10-29；主席及学生不得投稿</t>
        </is>
      </c>
    </row>
    <row r="114" ht="28" customHeight="1">
      <c r="A114" s="8" t="n">
        <v>113</v>
      </c>
      <c r="B114" s="9" t="inlineStr">
        <is>
          <t>ICSME</t>
        </is>
      </c>
      <c r="C114" s="8" t="inlineStr">
        <is>
          <t>B</t>
        </is>
      </c>
      <c r="D114" s="12" t="inlineStr">
        <is>
          <t>10 页 + refs</t>
        </is>
      </c>
      <c r="E114" s="8" t="inlineStr">
        <is>
          <t>双盲</t>
        </is>
      </c>
      <c r="F114" s="12" t="inlineStr">
        <is>
          <t>待确认</t>
        </is>
      </c>
      <c r="G114" s="8" t="inlineStr">
        <is>
          <t>A</t>
        </is>
      </c>
      <c r="H114" s="8" t="inlineStr">
        <is>
          <t>B</t>
        </is>
      </c>
      <c r="I114" s="10" t="inlineStr">
        <is>
          <t>不限</t>
        </is>
      </c>
      <c r="J114" s="8" t="inlineStr">
        <is>
          <t>已核实</t>
        </is>
      </c>
      <c r="K114" s="10" t="inlineStr">
        <is>
          <t>https://conf.researchr.org/home/icsme-2027</t>
        </is>
      </c>
      <c r="L114" s="10" t="inlineStr">
        <is>
          <t>与 SANER、FSE 研究轨道主题重叠；核查:官网仅列正文截稿，未列摘要截稿</t>
        </is>
      </c>
    </row>
    <row r="115" ht="28" customHeight="1">
      <c r="A115" s="8" t="n">
        <v>114</v>
      </c>
      <c r="B115" s="9" t="inlineStr">
        <is>
          <t>ISSRE</t>
        </is>
      </c>
      <c r="C115" s="8" t="inlineStr">
        <is>
          <t>B</t>
        </is>
      </c>
      <c r="D115" s="12" t="inlineStr">
        <is>
          <t>10 页 + refs</t>
        </is>
      </c>
      <c r="E115" s="8" t="inlineStr">
        <is>
          <t>双盲</t>
        </is>
      </c>
      <c r="F115" s="12" t="inlineStr">
        <is>
          <t>待确认</t>
        </is>
      </c>
      <c r="G115" s="8" t="inlineStr">
        <is>
          <t>A</t>
        </is>
      </c>
      <c r="H115" s="8" t="inlineStr">
        <is>
          <t>B</t>
        </is>
      </c>
      <c r="I115" s="10" t="inlineStr">
        <is>
          <t>不限</t>
        </is>
      </c>
      <c r="J115" s="8" t="inlineStr">
        <is>
          <t>2027CFP未发布</t>
        </is>
      </c>
      <c r="K115" s="10" t="inlineStr">
        <is>
          <t>https://conf.researchr.org/home/issre-2027</t>
        </is>
      </c>
      <c r="L115" s="10" t="inlineStr">
        <is>
          <t>偏工业实证与可靠性度量；核查:官网仅公告会期2027-10-19至22，截至日期页为空</t>
        </is>
      </c>
    </row>
    <row r="116" ht="28" customHeight="1">
      <c r="A116" s="8" t="n">
        <v>115</v>
      </c>
      <c r="B116" s="9" t="inlineStr">
        <is>
          <t>RE</t>
        </is>
      </c>
      <c r="C116" s="8" t="inlineStr">
        <is>
          <t>B</t>
        </is>
      </c>
      <c r="D116" s="12" t="inlineStr">
        <is>
          <t>10 页 + refs</t>
        </is>
      </c>
      <c r="E116" s="8" t="inlineStr">
        <is>
          <t>双盲</t>
        </is>
      </c>
      <c r="F116" s="12" t="inlineStr">
        <is>
          <t>待确认</t>
        </is>
      </c>
      <c r="G116" s="8" t="inlineStr">
        <is>
          <t>A</t>
        </is>
      </c>
      <c r="H116" s="8" t="inlineStr">
        <is>
          <t>N</t>
        </is>
      </c>
      <c r="I116" s="10" t="inlineStr">
        <is>
          <t>不限</t>
        </is>
      </c>
      <c r="J116" s="8" t="inlineStr">
        <is>
          <t>已核实</t>
        </is>
      </c>
      <c r="K116" s="10" t="inlineStr">
        <is>
          <t>https://conf.researchr.org/dates/RE-2027</t>
        </is>
      </c>
      <c r="L116" s="10" t="inlineStr">
        <is>
          <t>与 REFSQ 等需求类会议互补；核查:摘要截止2027-02-22；另有RE@Next!新投稿者track</t>
        </is>
      </c>
    </row>
    <row r="117" ht="28" customHeight="1">
      <c r="A117" s="8" t="n">
        <v>116</v>
      </c>
      <c r="B117" s="9" t="inlineStr">
        <is>
          <t>SANER</t>
        </is>
      </c>
      <c r="C117" s="8" t="inlineStr">
        <is>
          <t>B</t>
        </is>
      </c>
      <c r="D117" s="12" t="inlineStr">
        <is>
          <t>10 页 + refs</t>
        </is>
      </c>
      <c r="E117" s="8" t="inlineStr">
        <is>
          <t>双盲</t>
        </is>
      </c>
      <c r="F117" s="12" t="inlineStr">
        <is>
          <t>待确认</t>
        </is>
      </c>
      <c r="G117" s="8" t="inlineStr">
        <is>
          <t>A</t>
        </is>
      </c>
      <c r="H117" s="8" t="inlineStr">
        <is>
          <t>B</t>
        </is>
      </c>
      <c r="I117" s="10" t="inlineStr">
        <is>
          <t>不限</t>
        </is>
      </c>
      <c r="J117" s="8" t="inlineStr">
        <is>
          <t>已核实</t>
        </is>
      </c>
      <c r="K117" s="10" t="inlineStr">
        <is>
          <t>https://conf.researchr.org/dates/saner-2027</t>
        </is>
      </c>
      <c r="L117" s="10" t="inlineStr">
        <is>
          <t>偏演化与工具，接受工业论文；核查:Research Track摘要2026-09-21强制提交</t>
        </is>
      </c>
    </row>
    <row r="118" ht="28" customHeight="1">
      <c r="A118" s="8" t="n">
        <v>117</v>
      </c>
      <c r="B118" s="9" t="inlineStr">
        <is>
          <t>VMCAI</t>
        </is>
      </c>
      <c r="C118" s="8" t="inlineStr">
        <is>
          <t>B</t>
        </is>
      </c>
      <c r="D118" s="12" t="inlineStr">
        <is>
          <t>待确认</t>
        </is>
      </c>
      <c r="E118" s="8" t="inlineStr">
        <is>
          <t>待确认</t>
        </is>
      </c>
      <c r="F118" s="12" t="inlineStr">
        <is>
          <t>EasyChair</t>
        </is>
      </c>
      <c r="G118" s="8" t="inlineStr">
        <is>
          <t>B</t>
        </is>
      </c>
      <c r="H118" s="8" t="inlineStr">
        <is>
          <t>B</t>
        </is>
      </c>
      <c r="I118" s="10" t="inlineStr">
        <is>
          <t>不限</t>
        </is>
      </c>
      <c r="J118" s="8" t="inlineStr">
        <is>
          <t>已核实</t>
        </is>
      </c>
      <c r="K118" s="10" t="inlineStr">
        <is>
          <t>https://conf.researchr.org/home/VMCAI-2027</t>
        </is>
      </c>
      <c r="L118" s="10" t="inlineStr">
        <is>
          <t>与 CAV、TACAS 主题重叠，规模较小；核查:明确要求至少一位作者注册并现场报告；全部轮次 Paper Registration:2026-09-24 / Paper Submission:2026-10-01</t>
        </is>
      </c>
    </row>
    <row r="119" ht="28" customHeight="1">
      <c r="A119" s="8" t="n">
        <v>118</v>
      </c>
      <c r="B119" s="9" t="inlineStr">
        <is>
          <t>AISTATS</t>
        </is>
      </c>
      <c r="C119" s="8" t="inlineStr">
        <is>
          <t>C</t>
        </is>
      </c>
      <c r="D119" s="12" t="inlineStr">
        <is>
          <t>8 页 + refs</t>
        </is>
      </c>
      <c r="E119" s="8" t="inlineStr">
        <is>
          <t>双盲</t>
        </is>
      </c>
      <c r="F119" s="12" t="inlineStr">
        <is>
          <t>OpenReview</t>
        </is>
      </c>
      <c r="G119" s="8" t="inlineStr">
        <is>
          <t>A</t>
        </is>
      </c>
      <c r="H119" s="8" t="inlineStr">
        <is>
          <t>B</t>
        </is>
      </c>
      <c r="I119" s="10" t="inlineStr">
        <is>
          <t>不限</t>
        </is>
      </c>
      <c r="J119" s="8" t="inlineStr">
        <is>
          <t>已核实</t>
        </is>
      </c>
      <c r="K119" s="10" t="inlineStr">
        <is>
          <t>https://virtual.aistats.org/Conferences/2027</t>
        </is>
      </c>
      <c r="L119" s="10" t="inlineStr">
        <is>
          <t>PMLR 出版，与 ICML 方向重叠；核查:摘要2026-09-29；主会投稿已关闭</t>
        </is>
      </c>
    </row>
    <row r="120" ht="28" customHeight="1">
      <c r="A120" s="8" t="n">
        <v>119</v>
      </c>
      <c r="B120" s="9" t="inlineStr">
        <is>
          <t>ALT</t>
        </is>
      </c>
      <c r="C120" s="8" t="inlineStr">
        <is>
          <t>C</t>
        </is>
      </c>
      <c r="D120" s="12" t="inlineStr">
        <is>
          <t>待确认</t>
        </is>
      </c>
      <c r="E120" s="8" t="inlineStr">
        <is>
          <t>待确认</t>
        </is>
      </c>
      <c r="F120" s="12" t="inlineStr">
        <is>
          <t>待确认</t>
        </is>
      </c>
      <c r="G120" s="8" t="inlineStr">
        <is>
          <t>B</t>
        </is>
      </c>
      <c r="H120" s="8" t="inlineStr">
        <is>
          <t>B</t>
        </is>
      </c>
      <c r="I120" s="10" t="inlineStr">
        <is>
          <t>不限</t>
        </is>
      </c>
      <c r="J120" s="8" t="inlineStr">
        <is>
          <t>2027CFP未发布</t>
        </is>
      </c>
      <c r="K120" s="10" t="inlineStr">
        <is>
          <t>https://algorithmiclearningtheory.org/alt2027/</t>
        </is>
      </c>
      <c r="L120" s="10" t="inlineStr">
        <is>
          <t>小会，理论性强，看重证明严谨度；核查:官网仅有会议标题，无征稿信息</t>
        </is>
      </c>
    </row>
    <row r="121" ht="28" customHeight="1">
      <c r="A121" s="8" t="n">
        <v>120</v>
      </c>
      <c r="B121" s="9" t="inlineStr">
        <is>
          <t>FG</t>
        </is>
      </c>
      <c r="C121" s="8" t="inlineStr">
        <is>
          <t>C</t>
        </is>
      </c>
      <c r="D121" s="12" t="inlineStr">
        <is>
          <t>8 页 + refs</t>
        </is>
      </c>
      <c r="E121" s="8" t="inlineStr">
        <is>
          <t>双盲</t>
        </is>
      </c>
      <c r="F121" s="12" t="inlineStr">
        <is>
          <t>CMT</t>
        </is>
      </c>
      <c r="G121" s="8" t="inlineStr">
        <is>
          <t>B</t>
        </is>
      </c>
      <c r="H121" s="8" t="inlineStr">
        <is>
          <t>B</t>
        </is>
      </c>
      <c r="I121" s="10" t="inlineStr">
        <is>
          <t>不限</t>
        </is>
      </c>
      <c r="J121" s="8" t="inlineStr">
        <is>
          <t>已核实</t>
        </is>
      </c>
      <c r="K121" s="10" t="inlineStr">
        <is>
          <t>https://fg2027.ieee-biometrics.org/?p=1272</t>
        </is>
      </c>
      <c r="L121" s="10" t="inlineStr">
        <is>
          <t>单轨小会，偏工程与数据集论文；核查:截稿由10/16延至10/23，in-person-only</t>
        </is>
      </c>
    </row>
    <row r="122" ht="28" customHeight="1">
      <c r="A122" s="8" t="n">
        <v>121</v>
      </c>
      <c r="B122" s="9" t="inlineStr">
        <is>
          <t>GECCO</t>
        </is>
      </c>
      <c r="C122" s="8" t="inlineStr">
        <is>
          <t>C</t>
        </is>
      </c>
      <c r="D122" s="12" t="inlineStr">
        <is>
          <t>8 页 + refs</t>
        </is>
      </c>
      <c r="E122" s="8" t="inlineStr">
        <is>
          <t>双盲</t>
        </is>
      </c>
      <c r="F122" s="12" t="inlineStr">
        <is>
          <t>官网自建</t>
        </is>
      </c>
      <c r="G122" s="8" t="inlineStr">
        <is>
          <t>A</t>
        </is>
      </c>
      <c r="H122" s="8" t="inlineStr">
        <is>
          <t>B</t>
        </is>
      </c>
      <c r="I122" s="10" t="inlineStr">
        <is>
          <t>不限</t>
        </is>
      </c>
      <c r="J122" s="8" t="inlineStr">
        <is>
          <t>2027CFP未发布</t>
        </is>
      </c>
      <c r="K122" s="10" t="inlineStr">
        <is>
          <t>https://gecco-2027.sigevo.org/HomePage</t>
        </is>
      </c>
      <c r="L122" s="10" t="inlineStr">
        <is>
          <t>分 full/short/poster 多档投稿；核查:官网标in person only；截稿日未公布</t>
        </is>
      </c>
    </row>
    <row r="123" ht="28" customHeight="1">
      <c r="A123" s="8" t="n">
        <v>122</v>
      </c>
      <c r="B123" s="9" t="inlineStr">
        <is>
          <t>ICDAR</t>
        </is>
      </c>
      <c r="C123" s="8" t="inlineStr">
        <is>
          <t>C</t>
        </is>
      </c>
      <c r="D123" s="12" t="inlineStr">
        <is>
          <t>15 页含 refs</t>
        </is>
      </c>
      <c r="E123" s="8" t="inlineStr">
        <is>
          <t>待确认</t>
        </is>
      </c>
      <c r="F123" s="12" t="inlineStr">
        <is>
          <t>CMT</t>
        </is>
      </c>
      <c r="G123" s="8" t="inlineStr">
        <is>
          <t>A</t>
        </is>
      </c>
      <c r="H123" s="8" t="inlineStr">
        <is>
          <t>B</t>
        </is>
      </c>
      <c r="I123" s="10" t="inlineStr">
        <is>
          <t>不限</t>
        </is>
      </c>
      <c r="J123" s="8" t="inlineStr">
        <is>
          <t>已核实</t>
        </is>
      </c>
      <c r="K123" s="10" t="inlineStr">
        <is>
          <t>https://icdar2027.org/important-dates</t>
        </is>
      </c>
      <c r="L123" s="10" t="inlineStr">
        <is>
          <t>两年一届，常设竞赛 track；核查:会期8/18-22；含IJDAR期刊轨11/15截稿</t>
        </is>
      </c>
    </row>
    <row r="124" ht="28" customHeight="1">
      <c r="A124" s="8" t="n">
        <v>123</v>
      </c>
      <c r="B124" s="9" t="inlineStr">
        <is>
          <t>ICPR</t>
        </is>
      </c>
      <c r="C124" s="8" t="inlineStr">
        <is>
          <t>C</t>
        </is>
      </c>
      <c r="D124" s="12" t="inlineStr">
        <is>
          <t>7 页 + refs</t>
        </is>
      </c>
      <c r="E124" s="8" t="inlineStr">
        <is>
          <t>双盲</t>
        </is>
      </c>
      <c r="F124" s="12" t="inlineStr">
        <is>
          <t>CMT</t>
        </is>
      </c>
      <c r="G124" s="8" t="inlineStr">
        <is>
          <t>B</t>
        </is>
      </c>
      <c r="H124" s="8" t="inlineStr">
        <is>
          <t>B</t>
        </is>
      </c>
      <c r="I124" s="10" t="inlineStr">
        <is>
          <t>不限</t>
        </is>
      </c>
      <c r="J124" s="8" t="inlineStr">
        <is>
          <t>已核实</t>
        </is>
      </c>
      <c r="K124" s="10" t="inlineStr">
        <is>
          <t>https://www.icpr2027.com/web/dates</t>
        </is>
      </c>
      <c r="L124" s="10" t="inlineStr">
        <is>
          <t>两年一届，接收率相对友好；核查:首次全虚拟ICPR，日期标注为暂定</t>
        </is>
      </c>
    </row>
    <row r="125" ht="28" customHeight="1">
      <c r="A125" s="8" t="n">
        <v>124</v>
      </c>
      <c r="B125" s="9" t="inlineStr">
        <is>
          <t>IEEE CEC</t>
        </is>
      </c>
      <c r="C125" s="8" t="inlineStr">
        <is>
          <t>C</t>
        </is>
      </c>
      <c r="D125" s="12" t="inlineStr">
        <is>
          <t>8 页</t>
        </is>
      </c>
      <c r="E125" s="8" t="inlineStr">
        <is>
          <t>单盲</t>
        </is>
      </c>
      <c r="F125" s="12" t="inlineStr">
        <is>
          <t>官网自建</t>
        </is>
      </c>
      <c r="G125" s="8" t="inlineStr">
        <is>
          <t>B</t>
        </is>
      </c>
      <c r="H125" s="8" t="inlineStr">
        <is>
          <t>N</t>
        </is>
      </c>
      <c r="I125" s="10" t="inlineStr">
        <is>
          <t>不限</t>
        </is>
      </c>
      <c r="J125" s="8" t="inlineStr">
        <is>
          <t>已核实</t>
        </is>
      </c>
      <c r="K125" s="10" t="inlineStr">
        <is>
          <t>https://ieeecec.org/2027/authors/call-for-papers</t>
        </is>
      </c>
      <c r="L125" s="10" t="inlineStr">
        <is>
          <t>偶数年与 WCCI 合办；核查:另有短论文轨3/15截稿；明确不延期</t>
        </is>
      </c>
    </row>
    <row r="126" ht="28" customHeight="1">
      <c r="A126" s="8" t="n">
        <v>125</v>
      </c>
      <c r="B126" s="9" t="inlineStr">
        <is>
          <t>IJCNN</t>
        </is>
      </c>
      <c r="C126" s="8" t="inlineStr">
        <is>
          <t>C</t>
        </is>
      </c>
      <c r="D126" s="12" t="inlineStr">
        <is>
          <t>8 页含 refs</t>
        </is>
      </c>
      <c r="E126" s="8" t="inlineStr">
        <is>
          <t>单盲</t>
        </is>
      </c>
      <c r="F126" s="12" t="inlineStr">
        <is>
          <t>官网自建</t>
        </is>
      </c>
      <c r="G126" s="8" t="inlineStr">
        <is>
          <t>B</t>
        </is>
      </c>
      <c r="H126" s="8" t="inlineStr">
        <is>
          <t>B</t>
        </is>
      </c>
      <c r="I126" s="10" t="inlineStr">
        <is>
          <t>不限</t>
        </is>
      </c>
      <c r="J126" s="8" t="inlineStr">
        <is>
          <t>已核实</t>
        </is>
      </c>
      <c r="K126" s="10" t="inlineStr">
        <is>
          <t>https://ijcnn.org/2027/authors/call-for-papers</t>
        </is>
      </c>
      <c r="L126" s="10" t="inlineStr">
        <is>
          <t>规模大、方向散，投稿前先对 track；核查:全文限6页IEEE双栏；12/01开放投稿</t>
        </is>
      </c>
    </row>
    <row r="127" ht="28" customHeight="1">
      <c r="A127" s="8" t="n">
        <v>126</v>
      </c>
      <c r="B127" s="9" t="inlineStr">
        <is>
          <t>IROS</t>
        </is>
      </c>
      <c r="C127" s="8" t="inlineStr">
        <is>
          <t>C</t>
        </is>
      </c>
      <c r="D127" s="12" t="inlineStr">
        <is>
          <t>6 页 + refs</t>
        </is>
      </c>
      <c r="E127" s="8" t="inlineStr">
        <is>
          <t>双盲</t>
        </is>
      </c>
      <c r="F127" s="12" t="inlineStr">
        <is>
          <t>官网自建</t>
        </is>
      </c>
      <c r="G127" s="8" t="inlineStr">
        <is>
          <t>A</t>
        </is>
      </c>
      <c r="H127" s="8" t="inlineStr">
        <is>
          <t>B</t>
        </is>
      </c>
      <c r="I127" s="10" t="inlineStr">
        <is>
          <t>不限</t>
        </is>
      </c>
      <c r="J127" s="8" t="inlineStr">
        <is>
          <t>2027CFP未发布</t>
        </is>
      </c>
      <c r="K127" s="10" t="inlineStr">
        <is>
          <t>https://2027.ieee-iros.org/</t>
        </is>
      </c>
      <c r="L127" s="10" t="inlineStr">
        <is>
          <t>超页付费，重视实机实验；核查:官网仅公布会期9/27-10/1，截稿日未发布</t>
        </is>
      </c>
    </row>
    <row r="128" ht="28" customHeight="1">
      <c r="A128" s="8" t="n">
        <v>127</v>
      </c>
      <c r="B128" s="9" t="inlineStr">
        <is>
          <t>3DV</t>
        </is>
      </c>
      <c r="C128" s="8" t="inlineStr">
        <is>
          <t>C</t>
        </is>
      </c>
      <c r="D128" s="12" t="inlineStr">
        <is>
          <t>8 页 + refs</t>
        </is>
      </c>
      <c r="E128" s="8" t="inlineStr">
        <is>
          <t>双盲</t>
        </is>
      </c>
      <c r="F128" s="12" t="inlineStr">
        <is>
          <t>CMT</t>
        </is>
      </c>
      <c r="G128" s="8" t="inlineStr">
        <is>
          <t>N</t>
        </is>
      </c>
      <c r="H128" s="8" t="inlineStr">
        <is>
          <t>N</t>
        </is>
      </c>
      <c r="I128" s="10" t="inlineStr">
        <is>
          <t>不限</t>
        </is>
      </c>
      <c r="J128" s="8" t="inlineStr">
        <is>
          <t>已核实</t>
        </is>
      </c>
      <c r="K128" s="10" t="inlineStr">
        <is>
          <t>https://3dvconf.github.io/2027/dates</t>
        </is>
      </c>
      <c r="L128" s="10" t="inlineStr">
        <is>
          <t>小会，审稿意见质量波动较大；核查:两阶段通知：10-27初步、12-02最终；主页写明in-person举办</t>
        </is>
      </c>
    </row>
    <row r="129" ht="28" customHeight="1">
      <c r="A129" s="8" t="n">
        <v>128</v>
      </c>
      <c r="B129" s="9" t="inlineStr">
        <is>
          <t>CGI</t>
        </is>
      </c>
      <c r="C129" s="8" t="inlineStr">
        <is>
          <t>C</t>
        </is>
      </c>
      <c r="D129" s="12" t="inlineStr">
        <is>
          <t>待确认</t>
        </is>
      </c>
      <c r="E129" s="8" t="inlineStr">
        <is>
          <t>待确认</t>
        </is>
      </c>
      <c r="F129" s="12" t="inlineStr">
        <is>
          <t>待确认</t>
        </is>
      </c>
      <c r="G129" s="8" t="inlineStr">
        <is>
          <t>C</t>
        </is>
      </c>
      <c r="H129" s="8" t="inlineStr">
        <is>
          <t>N</t>
        </is>
      </c>
      <c r="I129" s="10" t="inlineStr">
        <is>
          <t>不限</t>
        </is>
      </c>
      <c r="J129" s="8" t="inlineStr">
        <is>
          <t>已核实</t>
        </is>
      </c>
      <c r="K129" s="10" t="inlineStr">
        <is>
          <t>https://www.cgs-network.org/cgi27/important-dates/</t>
        </is>
      </c>
      <c r="L129" s="10" t="inlineStr">
        <is>
          <t>Springer 出版，年限与页数常变；核查:双轨：TVC轨2-28截稿、5-10录用；LNCS轨4-20截稿、5-31录用</t>
        </is>
      </c>
    </row>
    <row r="130" ht="28" customHeight="1">
      <c r="A130" s="8" t="n">
        <v>129</v>
      </c>
      <c r="B130" s="9" t="inlineStr">
        <is>
          <t>CVM</t>
        </is>
      </c>
      <c r="C130" s="8" t="inlineStr">
        <is>
          <t>C</t>
        </is>
      </c>
      <c r="D130" s="12" t="inlineStr">
        <is>
          <t>待确认</t>
        </is>
      </c>
      <c r="E130" s="8" t="inlineStr">
        <is>
          <t>待确认</t>
        </is>
      </c>
      <c r="F130" s="12" t="inlineStr">
        <is>
          <t>待确认</t>
        </is>
      </c>
      <c r="G130" s="8" t="inlineStr">
        <is>
          <t>N</t>
        </is>
      </c>
      <c r="H130" s="8" t="inlineStr">
        <is>
          <t>N</t>
        </is>
      </c>
      <c r="I130" s="10" t="inlineStr">
        <is>
          <t>不限</t>
        </is>
      </c>
      <c r="J130" s="8" t="inlineStr">
        <is>
          <t>已核实</t>
        </is>
      </c>
      <c r="K130" s="10" t="inlineStr">
        <is>
          <t>http://iccvm.org/2027/</t>
        </is>
      </c>
      <c r="L130" s="10" t="inlineStr">
        <is>
          <t>国内主办，与期刊专辑联动；核查:摘要10-26（原10-23已延后），全文同10-26，23:59 GMT；重查:CFP 仅写 14 页上限与 10-26 23:59 GMT 截稿，未写到场与新人条款</t>
        </is>
      </c>
    </row>
    <row r="131" ht="28" customHeight="1">
      <c r="A131" s="8" t="n">
        <v>130</v>
      </c>
      <c r="B131" s="9" t="inlineStr">
        <is>
          <t>GMP</t>
        </is>
      </c>
      <c r="C131" s="8" t="inlineStr">
        <is>
          <t>C</t>
        </is>
      </c>
      <c r="D131" s="12" t="inlineStr">
        <is>
          <t>待确认</t>
        </is>
      </c>
      <c r="E131" s="8" t="inlineStr">
        <is>
          <t>待确认</t>
        </is>
      </c>
      <c r="F131" s="12" t="inlineStr">
        <is>
          <t>待确认</t>
        </is>
      </c>
      <c r="G131" s="8" t="inlineStr">
        <is>
          <t>C</t>
        </is>
      </c>
      <c r="H131" s="8" t="inlineStr">
        <is>
          <t>N</t>
        </is>
      </c>
      <c r="I131" s="10" t="inlineStr">
        <is>
          <t>不限</t>
        </is>
      </c>
      <c r="J131" s="8" t="inlineStr">
        <is>
          <t>2027CFP未发布</t>
        </is>
      </c>
      <c r="K131" s="10" t="inlineStr">
        <is>
          <t>https://gmp-conference-2027.github.io/gmp2027/</t>
        </is>
      </c>
      <c r="L131" s="10" t="inlineStr">
        <is>
          <t>常与 SMI 联办，规模很小；核查:官网仅剩标题，CFP子页404，未见任何日期</t>
        </is>
      </c>
    </row>
    <row r="132" ht="28" customHeight="1">
      <c r="A132" s="8" t="n">
        <v>131</v>
      </c>
      <c r="B132" s="9" t="inlineStr">
        <is>
          <t>ICIP</t>
        </is>
      </c>
      <c r="C132" s="8" t="inlineStr">
        <is>
          <t>C</t>
        </is>
      </c>
      <c r="D132" s="12" t="inlineStr">
        <is>
          <t>4 页 + refs</t>
        </is>
      </c>
      <c r="E132" s="8" t="inlineStr">
        <is>
          <t>单盲</t>
        </is>
      </c>
      <c r="F132" s="12" t="inlineStr">
        <is>
          <t>官网自建</t>
        </is>
      </c>
      <c r="G132" s="8" t="inlineStr">
        <is>
          <t>B</t>
        </is>
      </c>
      <c r="H132" s="8" t="inlineStr">
        <is>
          <t>B</t>
        </is>
      </c>
      <c r="I132" s="10" t="inlineStr">
        <is>
          <t>不限</t>
        </is>
      </c>
      <c r="J132" s="8" t="inlineStr">
        <is>
          <t>未找到</t>
        </is>
      </c>
      <c r="K132" s="10" t="inlineStr">
        <is>
          <t>https://2027.ieeeicip.org/</t>
        </is>
      </c>
      <c r="L132" s="10" t="inlineStr">
        <is>
          <t>短文制，周期短适合快速产出；核查:CFP页误挂ICASSP2023旧内容，无2027投稿信息</t>
        </is>
      </c>
    </row>
    <row r="133" ht="28" customHeight="1">
      <c r="A133" s="8" t="n">
        <v>132</v>
      </c>
      <c r="B133" s="9" t="inlineStr">
        <is>
          <t>MMM</t>
        </is>
      </c>
      <c r="C133" s="8" t="inlineStr">
        <is>
          <t>C</t>
        </is>
      </c>
      <c r="D133" s="12" t="inlineStr">
        <is>
          <t>12 页 + refs</t>
        </is>
      </c>
      <c r="E133" s="8" t="inlineStr">
        <is>
          <t>待确认</t>
        </is>
      </c>
      <c r="F133" s="12" t="inlineStr">
        <is>
          <t>待确认</t>
        </is>
      </c>
      <c r="G133" s="8" t="inlineStr">
        <is>
          <t>B</t>
        </is>
      </c>
      <c r="H133" s="8" t="inlineStr">
        <is>
          <t>N</t>
        </is>
      </c>
      <c r="I133" s="10" t="inlineStr">
        <is>
          <t>不限</t>
        </is>
      </c>
      <c r="J133" s="8" t="inlineStr">
        <is>
          <t>已核实</t>
        </is>
      </c>
      <c r="K133" s="10" t="inlineStr">
        <is>
          <t>https://www.mmm2027.net/</t>
        </is>
      </c>
      <c r="L133" s="10" t="inlineStr">
        <is>
          <t>Springer LNCS，接收率中等偏高；核查:正则论文8-30，demo/VBS 9-22；会期2027-01-05至08</t>
        </is>
      </c>
    </row>
    <row r="134" ht="28" customHeight="1">
      <c r="A134" s="8" t="n">
        <v>133</v>
      </c>
      <c r="B134" s="9" t="inlineStr">
        <is>
          <t>PacificVis</t>
        </is>
      </c>
      <c r="C134" s="8" t="inlineStr">
        <is>
          <t>C</t>
        </is>
      </c>
      <c r="D134" s="12" t="inlineStr">
        <is>
          <t>9 页 + refs</t>
        </is>
      </c>
      <c r="E134" s="8" t="inlineStr">
        <is>
          <t>双盲</t>
        </is>
      </c>
      <c r="F134" s="12" t="inlineStr">
        <is>
          <t>待确认</t>
        </is>
      </c>
      <c r="G134" s="8" t="inlineStr">
        <is>
          <t>B</t>
        </is>
      </c>
      <c r="H134" s="8" t="inlineStr">
        <is>
          <t>B</t>
        </is>
      </c>
      <c r="I134" s="10" t="inlineStr">
        <is>
          <t>不限</t>
        </is>
      </c>
      <c r="J134" s="8" t="inlineStr">
        <is>
          <t>未找到</t>
        </is>
      </c>
      <c r="K134" s="10" t="inlineStr">
        <is>
          <t>https://pacificvis2027.github.io/</t>
        </is>
      </c>
      <c r="L134" s="10" t="inlineStr">
        <is>
          <t>TVCG 专辑 track 与会议 track 并行；核查:CFP已发布但子页404，未取到日期；重查:首页称各 CFP 已发布但未给链接，需人工进入</t>
        </is>
      </c>
    </row>
    <row r="135" ht="28" customHeight="1">
      <c r="A135" s="8" t="n">
        <v>134</v>
      </c>
      <c r="B135" s="9" t="inlineStr">
        <is>
          <t>SMI</t>
        </is>
      </c>
      <c r="C135" s="8" t="inlineStr">
        <is>
          <t>C</t>
        </is>
      </c>
      <c r="D135" s="12" t="inlineStr">
        <is>
          <t>待确认</t>
        </is>
      </c>
      <c r="E135" s="8" t="inlineStr">
        <is>
          <t>待确认</t>
        </is>
      </c>
      <c r="F135" s="12" t="inlineStr">
        <is>
          <t>待确认</t>
        </is>
      </c>
      <c r="G135" s="8" t="inlineStr">
        <is>
          <t>N</t>
        </is>
      </c>
      <c r="H135" s="8" t="inlineStr">
        <is>
          <t>N</t>
        </is>
      </c>
      <c r="I135" s="10" t="inlineStr">
        <is>
          <t>不限</t>
        </is>
      </c>
      <c r="J135" s="8" t="inlineStr">
        <is>
          <t>已核实</t>
        </is>
      </c>
      <c r="K135" s="10" t="inlineStr">
        <is>
          <t>https://smiconf.github.io/2027/</t>
        </is>
      </c>
      <c r="L135" s="10" t="inlineStr">
        <is>
          <t>与 GMP 常同期同地举办；核查:现场报告与线上参会要求页面未公布</t>
        </is>
      </c>
    </row>
    <row r="136" ht="28" customHeight="1">
      <c r="A136" s="8" t="n">
        <v>135</v>
      </c>
      <c r="B136" s="9" t="inlineStr">
        <is>
          <t>FSCD</t>
        </is>
      </c>
      <c r="C136" s="8" t="inlineStr">
        <is>
          <t>C</t>
        </is>
      </c>
      <c r="D136" s="12" t="inlineStr">
        <is>
          <t>15 页 + refs</t>
        </is>
      </c>
      <c r="E136" s="8" t="inlineStr">
        <is>
          <t>单盲</t>
        </is>
      </c>
      <c r="F136" s="12" t="inlineStr">
        <is>
          <t>EasyChair</t>
        </is>
      </c>
      <c r="G136" s="8" t="inlineStr">
        <is>
          <t>—</t>
        </is>
      </c>
      <c r="H136" s="8" t="inlineStr">
        <is>
          <t>—</t>
        </is>
      </c>
      <c r="I136" s="10" t="inlineStr">
        <is>
          <t>不限</t>
        </is>
      </c>
      <c r="J136" s="8" t="inlineStr">
        <is>
          <t>已核实</t>
        </is>
      </c>
      <c r="K136" s="10" t="inlineStr">
        <is>
          <t>https://fscd-cade.science.ru.nl/</t>
        </is>
      </c>
      <c r="L136" s="10" t="inlineStr">
        <is>
          <t>LIPIcs 开放出版，理论向；核查:仅列CADE截稿2027-02-21，FSCD自身截稿未公布</t>
        </is>
      </c>
    </row>
    <row r="137" ht="28" customHeight="1">
      <c r="A137" s="8" t="n">
        <v>136</v>
      </c>
      <c r="B137" s="9" t="inlineStr">
        <is>
          <t>ECIR</t>
        </is>
      </c>
      <c r="C137" s="8" t="inlineStr">
        <is>
          <t>C</t>
        </is>
      </c>
      <c r="D137" s="12" t="inlineStr">
        <is>
          <t>12 页 + refs</t>
        </is>
      </c>
      <c r="E137" s="8" t="inlineStr">
        <is>
          <t>双盲</t>
        </is>
      </c>
      <c r="F137" s="12" t="inlineStr">
        <is>
          <t>EasyChair</t>
        </is>
      </c>
      <c r="G137" s="8" t="inlineStr">
        <is>
          <t>A</t>
        </is>
      </c>
      <c r="H137" s="8" t="inlineStr">
        <is>
          <t>B</t>
        </is>
      </c>
      <c r="I137" s="10" t="inlineStr">
        <is>
          <t>不限</t>
        </is>
      </c>
      <c r="J137" s="8" t="inlineStr">
        <is>
          <t>已核实</t>
        </is>
      </c>
      <c r="K137" s="10" t="inlineStr">
        <is>
          <t>https://www.ecir2027.co.uk/</t>
        </is>
      </c>
      <c r="L137" s="10" t="inlineStr">
        <is>
          <t>欧陆 IR 主会，接收率约三成；核查:页首称第49届，About段称第48届</t>
        </is>
      </c>
    </row>
    <row r="138" ht="28" customHeight="1">
      <c r="A138" s="8" t="n">
        <v>137</v>
      </c>
      <c r="B138" s="9" t="inlineStr">
        <is>
          <t>ESWC</t>
        </is>
      </c>
      <c r="C138" s="8" t="inlineStr">
        <is>
          <t>C</t>
        </is>
      </c>
      <c r="D138" s="12" t="inlineStr">
        <is>
          <t>15 页 + refs</t>
        </is>
      </c>
      <c r="E138" s="8" t="inlineStr">
        <is>
          <t>待确认</t>
        </is>
      </c>
      <c r="F138" s="12" t="inlineStr">
        <is>
          <t>待确认</t>
        </is>
      </c>
      <c r="G138" s="8" t="inlineStr">
        <is>
          <t>B</t>
        </is>
      </c>
      <c r="H138" s="8" t="inlineStr">
        <is>
          <t>N</t>
        </is>
      </c>
      <c r="I138" s="10" t="inlineStr">
        <is>
          <t>不限</t>
        </is>
      </c>
      <c r="J138" s="8" t="inlineStr">
        <is>
          <t>2027CFP未发布</t>
        </is>
      </c>
      <c r="K138" s="10" t="inlineStr">
        <is>
          <t>https://2027.eswc-conferences.org/</t>
        </is>
      </c>
      <c r="L138" s="10" t="inlineStr">
        <is>
          <t>LNCS 出版，另设资源与行业 track；核查:官网仅有时间地点，Call页无内容</t>
        </is>
      </c>
    </row>
    <row r="139" ht="28" customHeight="1">
      <c r="A139" s="8" t="n">
        <v>138</v>
      </c>
      <c r="B139" s="9" t="inlineStr">
        <is>
          <t>PAKDD</t>
        </is>
      </c>
      <c r="C139" s="8" t="inlineStr">
        <is>
          <t>C</t>
        </is>
      </c>
      <c r="D139" s="12" t="inlineStr">
        <is>
          <t>16 页含 refs</t>
        </is>
      </c>
      <c r="E139" s="8" t="inlineStr">
        <is>
          <t>双盲</t>
        </is>
      </c>
      <c r="F139" s="12" t="inlineStr">
        <is>
          <t>待确认</t>
        </is>
      </c>
      <c r="G139" s="8" t="inlineStr">
        <is>
          <t>B</t>
        </is>
      </c>
      <c r="H139" s="8" t="inlineStr">
        <is>
          <t>N</t>
        </is>
      </c>
      <c r="I139" s="10" t="inlineStr">
        <is>
          <t>不限</t>
        </is>
      </c>
      <c r="J139" s="8" t="inlineStr">
        <is>
          <t>2027CFP未发布</t>
        </is>
      </c>
      <c r="K139" s="10" t="inlineStr">
        <is>
          <t>https://www.pakdd2027.org/</t>
        </is>
      </c>
      <c r="L139" s="10" t="inlineStr">
        <is>
          <t>LNCS 出版，设应用 track；核查:CFP页404，官网仅会议日期</t>
        </is>
      </c>
    </row>
    <row r="140" ht="28" customHeight="1">
      <c r="A140" s="8" t="n">
        <v>139</v>
      </c>
      <c r="B140" s="9" t="inlineStr">
        <is>
          <t>ASP-DAC</t>
        </is>
      </c>
      <c r="C140" s="8" t="inlineStr">
        <is>
          <t>C</t>
        </is>
      </c>
      <c r="D140" s="12" t="inlineStr">
        <is>
          <t>6 页 + refs</t>
        </is>
      </c>
      <c r="E140" s="8" t="inlineStr">
        <is>
          <t>单盲</t>
        </is>
      </c>
      <c r="F140" s="12" t="inlineStr">
        <is>
          <t>官网自建</t>
        </is>
      </c>
      <c r="G140" s="8" t="inlineStr">
        <is>
          <t>B</t>
        </is>
      </c>
      <c r="H140" s="8" t="inlineStr">
        <is>
          <t>B</t>
        </is>
      </c>
      <c r="I140" s="10" t="inlineStr">
        <is>
          <t>不限</t>
        </is>
      </c>
      <c r="J140" s="8" t="inlineStr">
        <is>
          <t>已核实</t>
        </is>
      </c>
      <c r="K140" s="10" t="inlineStr">
        <is>
          <t>https://www.aspdac.com/aspdac2027/author/</t>
        </is>
      </c>
      <c r="L140" s="10" t="inlineStr">
        <is>
          <t>与 DAC、ICCAD 并称 EDA 三大会议；核查:已公布录用名单，终稿2026-10-27，截稿日未列</t>
        </is>
      </c>
    </row>
    <row r="141" ht="28" customHeight="1">
      <c r="A141" s="8" t="n">
        <v>140</v>
      </c>
      <c r="B141" s="9" t="inlineStr">
        <is>
          <t>CCGRID</t>
        </is>
      </c>
      <c r="C141" s="8" t="inlineStr">
        <is>
          <t>C</t>
        </is>
      </c>
      <c r="D141" s="12" t="inlineStr">
        <is>
          <t>10 页</t>
        </is>
      </c>
      <c r="E141" s="8" t="inlineStr">
        <is>
          <t>双盲</t>
        </is>
      </c>
      <c r="F141" s="12" t="inlineStr">
        <is>
          <t>待确认</t>
        </is>
      </c>
      <c r="G141" s="8" t="inlineStr">
        <is>
          <t>B</t>
        </is>
      </c>
      <c r="H141" s="8" t="inlineStr">
        <is>
          <t>B</t>
        </is>
      </c>
      <c r="I141" s="10" t="inlineStr">
        <is>
          <t>不限</t>
        </is>
      </c>
      <c r="J141" s="8" t="inlineStr">
        <is>
          <t>已核实</t>
        </is>
      </c>
      <c r="K141" s="10" t="inlineStr">
        <is>
          <t>https://hpcclab.org/ccgrid27/</t>
        </is>
      </c>
      <c r="L141" s="10" t="inlineStr">
        <is>
          <t>IEEE 出版，与 CCGrid 社区合办；核查:摘要截止2026-11-24</t>
        </is>
      </c>
    </row>
    <row r="142" ht="28" customHeight="1">
      <c r="A142" s="8" t="n">
        <v>141</v>
      </c>
      <c r="B142" s="9" t="inlineStr">
        <is>
          <t>ETS</t>
        </is>
      </c>
      <c r="C142" s="8" t="inlineStr">
        <is>
          <t>C</t>
        </is>
      </c>
      <c r="D142" s="12" t="inlineStr">
        <is>
          <t>6 页 + refs</t>
        </is>
      </c>
      <c r="E142" s="8" t="inlineStr">
        <is>
          <t>单盲</t>
        </is>
      </c>
      <c r="F142" s="12" t="inlineStr">
        <is>
          <t>官网自建</t>
        </is>
      </c>
      <c r="G142" s="8" t="inlineStr">
        <is>
          <t>B</t>
        </is>
      </c>
      <c r="H142" s="8" t="inlineStr">
        <is>
          <t>N</t>
        </is>
      </c>
      <c r="I142" s="10" t="inlineStr">
        <is>
          <t>不限</t>
        </is>
      </c>
      <c r="J142" s="8" t="inlineStr">
        <is>
          <t>2027CFP未发布</t>
        </is>
      </c>
      <c r="K142" s="10" t="inlineStr">
        <is>
          <t>https://www.ets2027.co.uk/</t>
        </is>
      </c>
      <c r="L142" s="10" t="inlineStr">
        <is>
          <t>欧洲测试周核心会议；核查:官网仅公布会期5/24-28与场地，截稿日未发布</t>
        </is>
      </c>
    </row>
    <row r="143" ht="28" customHeight="1">
      <c r="A143" s="8" t="n">
        <v>142</v>
      </c>
      <c r="B143" s="9" t="inlineStr">
        <is>
          <t>ISPD</t>
        </is>
      </c>
      <c r="C143" s="8" t="inlineStr">
        <is>
          <t>C</t>
        </is>
      </c>
      <c r="D143" s="12" t="inlineStr">
        <is>
          <t>6 页 + refs</t>
        </is>
      </c>
      <c r="E143" s="8" t="inlineStr">
        <is>
          <t>单盲</t>
        </is>
      </c>
      <c r="F143" s="12" t="inlineStr">
        <is>
          <t>官网自建</t>
        </is>
      </c>
      <c r="G143" s="8" t="inlineStr">
        <is>
          <t>—</t>
        </is>
      </c>
      <c r="H143" s="8" t="inlineStr">
        <is>
          <t>—</t>
        </is>
      </c>
      <c r="I143" s="10" t="inlineStr">
        <is>
          <t>不限</t>
        </is>
      </c>
      <c r="J143" s="8" t="inlineStr">
        <is>
          <t>已核实</t>
        </is>
      </c>
      <c r="K143" s="10" t="inlineStr">
        <is>
          <t>https://ispd.cc/ispd2027/</t>
        </is>
      </c>
      <c r="L143" s="10" t="inlineStr">
        <is>
          <t>单 track，规模小，设竞赛 track；核查:摘要9/21，全文9/28，报告人注册2027-01-07</t>
        </is>
      </c>
    </row>
    <row r="144" ht="28" customHeight="1">
      <c r="A144" s="8" t="n">
        <v>143</v>
      </c>
      <c r="B144" s="9" t="inlineStr">
        <is>
          <t>CSCWD</t>
        </is>
      </c>
      <c r="C144" s="8" t="inlineStr">
        <is>
          <t>C</t>
        </is>
      </c>
      <c r="D144" s="12" t="inlineStr">
        <is>
          <t>8 页</t>
        </is>
      </c>
      <c r="E144" s="8" t="inlineStr">
        <is>
          <t>待确认</t>
        </is>
      </c>
      <c r="F144" s="12" t="inlineStr">
        <is>
          <t>待确认</t>
        </is>
      </c>
      <c r="G144" s="8" t="inlineStr">
        <is>
          <t>C</t>
        </is>
      </c>
      <c r="H144" s="8" t="inlineStr">
        <is>
          <t>N</t>
        </is>
      </c>
      <c r="I144" s="10" t="inlineStr">
        <is>
          <t>不限</t>
        </is>
      </c>
      <c r="J144" s="8" t="inlineStr">
        <is>
          <t>官网不可达</t>
        </is>
      </c>
      <c r="K144" s="10" t="inlineStr">
        <is>
          <t>—</t>
        </is>
      </c>
      <c r="L144" s="10" t="inlineStr">
        <is>
          <t>IEEE 出版，偏应用与工程；核查:2027.cscwd.org HTTP/HTTPS 均无法访问；重查:重查失败：官网超时</t>
        </is>
      </c>
    </row>
    <row r="145" ht="28" customHeight="1">
      <c r="A145" s="8" t="n">
        <v>144</v>
      </c>
      <c r="B145" s="9" t="inlineStr">
        <is>
          <t>DIS</t>
        </is>
      </c>
      <c r="C145" s="8" t="inlineStr">
        <is>
          <t>C</t>
        </is>
      </c>
      <c r="D145" s="12" t="inlineStr">
        <is>
          <t>待确认</t>
        </is>
      </c>
      <c r="E145" s="8" t="inlineStr">
        <is>
          <t>双盲</t>
        </is>
      </c>
      <c r="F145" s="12" t="inlineStr">
        <is>
          <t>待确认</t>
        </is>
      </c>
      <c r="G145" s="8" t="inlineStr">
        <is>
          <t>A</t>
        </is>
      </c>
      <c r="H145" s="8" t="inlineStr">
        <is>
          <t>B</t>
        </is>
      </c>
      <c r="I145" s="10" t="inlineStr">
        <is>
          <t>不限</t>
        </is>
      </c>
      <c r="J145" s="8" t="inlineStr">
        <is>
          <t>2027CFP未发布</t>
        </is>
      </c>
      <c r="K145" s="10" t="inlineStr">
        <is>
          <t>https://dis.acm.org/2027/</t>
        </is>
      </c>
      <c r="L145" s="10" t="inlineStr">
        <is>
          <t>SIGCHI 主办，按 PACM HCI 形式出版；核查:官网仅有会期6/28-7/2与主题，投稿通道未开</t>
        </is>
      </c>
    </row>
    <row r="146" ht="28" customHeight="1">
      <c r="A146" s="8" t="n">
        <v>145</v>
      </c>
      <c r="B146" s="9" t="inlineStr">
        <is>
          <t>GI</t>
        </is>
      </c>
      <c r="C146" s="8" t="inlineStr">
        <is>
          <t>C</t>
        </is>
      </c>
      <c r="D146" s="12" t="inlineStr">
        <is>
          <t>待确认</t>
        </is>
      </c>
      <c r="E146" s="8" t="inlineStr">
        <is>
          <t>待确认</t>
        </is>
      </c>
      <c r="F146" s="12" t="inlineStr">
        <is>
          <t>待确认</t>
        </is>
      </c>
      <c r="G146" s="8" t="inlineStr">
        <is>
          <t>—</t>
        </is>
      </c>
      <c r="H146" s="8" t="inlineStr">
        <is>
          <t>—</t>
        </is>
      </c>
      <c r="I146" s="10" t="inlineStr">
        <is>
          <t>不限</t>
        </is>
      </c>
      <c r="J146" s="8" t="inlineStr">
        <is>
          <t>2027CFP未发布</t>
        </is>
      </c>
      <c r="K146" s="10" t="inlineStr">
        <is>
          <t>https://conferences.graphicsinterface.org/2027</t>
        </is>
      </c>
      <c r="L146" s="10" t="inlineStr">
        <is>
          <t>北美区域性会议，规模中等；核查:官网仅公布会期6/15-18，称细节稍后发布</t>
        </is>
      </c>
    </row>
    <row r="147" ht="28" customHeight="1">
      <c r="A147" s="8" t="n">
        <v>146</v>
      </c>
      <c r="B147" s="9" t="inlineStr">
        <is>
          <t>IDC</t>
        </is>
      </c>
      <c r="C147" s="8" t="inlineStr">
        <is>
          <t>C</t>
        </is>
      </c>
      <c r="D147" s="12" t="inlineStr">
        <is>
          <t>待确认</t>
        </is>
      </c>
      <c r="E147" s="8" t="inlineStr">
        <is>
          <t>双盲</t>
        </is>
      </c>
      <c r="F147" s="12" t="inlineStr">
        <is>
          <t>待确认</t>
        </is>
      </c>
      <c r="G147" s="8" t="inlineStr">
        <is>
          <t>—</t>
        </is>
      </c>
      <c r="H147" s="8" t="inlineStr">
        <is>
          <t>—</t>
        </is>
      </c>
      <c r="I147" s="10" t="inlineStr">
        <is>
          <t>不限</t>
        </is>
      </c>
      <c r="J147" s="8" t="inlineStr">
        <is>
          <t>已核实</t>
        </is>
      </c>
      <c r="K147" s="10" t="inlineStr">
        <is>
          <t>https://idc.acm.org/2027/</t>
        </is>
      </c>
      <c r="L147" s="10" t="inlineStr">
        <is>
          <t>SIGCHI 主办，儿童参与研究为特色；核查:长/短文截稿2027-01-25，录用通知日未列</t>
        </is>
      </c>
    </row>
    <row r="148" ht="28" customHeight="1">
      <c r="A148" s="8" t="n">
        <v>147</v>
      </c>
      <c r="B148" s="9" t="inlineStr">
        <is>
          <t>INTERACT</t>
        </is>
      </c>
      <c r="C148" s="8" t="inlineStr">
        <is>
          <t>C</t>
        </is>
      </c>
      <c r="D148" s="12" t="inlineStr">
        <is>
          <t>待确认</t>
        </is>
      </c>
      <c r="E148" s="8" t="inlineStr">
        <is>
          <t>双盲</t>
        </is>
      </c>
      <c r="F148" s="12" t="inlineStr">
        <is>
          <t>待确认</t>
        </is>
      </c>
      <c r="G148" s="8" t="inlineStr">
        <is>
          <t>—</t>
        </is>
      </c>
      <c r="H148" s="8" t="inlineStr">
        <is>
          <t>—</t>
        </is>
      </c>
      <c r="I148" s="10" t="inlineStr">
        <is>
          <t>不限</t>
        </is>
      </c>
      <c r="J148" s="8" t="inlineStr">
        <is>
          <t>已核实</t>
        </is>
      </c>
      <c r="K148" s="10" t="inlineStr">
        <is>
          <t>https://interact2027.org/</t>
        </is>
      </c>
      <c r="L148" s="10" t="inlineStr">
        <is>
          <t>LNCS 出版，两年一届；核查:官网仅列全篇论文截稿与通知日</t>
        </is>
      </c>
    </row>
    <row r="149" ht="28" customHeight="1">
      <c r="A149" s="8" t="n">
        <v>148</v>
      </c>
      <c r="B149" s="9" t="inlineStr">
        <is>
          <t>WHC</t>
        </is>
      </c>
      <c r="C149" s="8" t="inlineStr">
        <is>
          <t>C</t>
        </is>
      </c>
      <c r="D149" s="12" t="inlineStr">
        <is>
          <t>6 页 + refs</t>
        </is>
      </c>
      <c r="E149" s="8" t="inlineStr">
        <is>
          <t>待确认</t>
        </is>
      </c>
      <c r="F149" s="12" t="inlineStr">
        <is>
          <t>待确认</t>
        </is>
      </c>
      <c r="G149" s="8" t="inlineStr">
        <is>
          <t>—</t>
        </is>
      </c>
      <c r="H149" s="8" t="inlineStr">
        <is>
          <t>—</t>
        </is>
      </c>
      <c r="I149" s="10" t="inlineStr">
        <is>
          <t>不限</t>
        </is>
      </c>
      <c r="J149" s="8" t="inlineStr">
        <is>
          <t>已核实</t>
        </is>
      </c>
      <c r="K149" s="10" t="inlineStr">
        <is>
          <t>https://2027.worldhaptics.org/</t>
        </is>
      </c>
      <c r="L149" s="10" t="inlineStr">
        <is>
          <t>IEEE 与 EuroHaptics 合办，两年一届；核查:官网标注日期为暂定，可能调整</t>
        </is>
      </c>
    </row>
    <row r="150" ht="28" customHeight="1">
      <c r="A150" s="8" t="n">
        <v>149</v>
      </c>
      <c r="B150" s="9" t="inlineStr">
        <is>
          <t>ICIC</t>
        </is>
      </c>
      <c r="C150" s="8" t="inlineStr">
        <is>
          <t>C</t>
        </is>
      </c>
      <c r="D150" s="12" t="inlineStr">
        <is>
          <t>12 页 + refs</t>
        </is>
      </c>
      <c r="E150" s="8" t="inlineStr">
        <is>
          <t>待确认</t>
        </is>
      </c>
      <c r="F150" s="12" t="inlineStr">
        <is>
          <t>待确认</t>
        </is>
      </c>
      <c r="G150" s="8" t="inlineStr">
        <is>
          <t>N</t>
        </is>
      </c>
      <c r="H150" s="8" t="inlineStr">
        <is>
          <t>N</t>
        </is>
      </c>
      <c r="I150" s="10" t="inlineStr">
        <is>
          <t>不限</t>
        </is>
      </c>
      <c r="J150" s="8" t="inlineStr">
        <is>
          <t>官网不可达</t>
        </is>
      </c>
      <c r="K150" s="10" t="inlineStr">
        <is>
          <t>—</t>
        </is>
      </c>
      <c r="L150" s="10" t="inlineStr">
        <is>
          <t>Springer LNCS 系列，录用相对宽松；核查:ic-icc.cn 多次抓取失败，无法核实</t>
        </is>
      </c>
    </row>
    <row r="151" ht="28" customHeight="1">
      <c r="A151" s="8" t="n">
        <v>150</v>
      </c>
      <c r="B151" s="9" t="inlineStr">
        <is>
          <t>ICC</t>
        </is>
      </c>
      <c r="C151" s="8" t="inlineStr">
        <is>
          <t>C</t>
        </is>
      </c>
      <c r="D151" s="12" t="inlineStr">
        <is>
          <t>6 页 + refs</t>
        </is>
      </c>
      <c r="E151" s="8" t="inlineStr">
        <is>
          <t>单盲</t>
        </is>
      </c>
      <c r="F151" s="12" t="inlineStr">
        <is>
          <t>官网自建</t>
        </is>
      </c>
      <c r="G151" s="8" t="inlineStr">
        <is>
          <t>N</t>
        </is>
      </c>
      <c r="H151" s="8" t="inlineStr">
        <is>
          <t>B</t>
        </is>
      </c>
      <c r="I151" s="10" t="inlineStr">
        <is>
          <t>不限</t>
        </is>
      </c>
      <c r="J151" s="8" t="inlineStr">
        <is>
          <t>已核实</t>
        </is>
      </c>
      <c r="K151" s="10" t="inlineStr">
        <is>
          <t>https://icc2027.ieee-icc.org/authors/call-symposium-papers</t>
        </is>
      </c>
      <c r="L151" s="10" t="inlineStr">
        <is>
          <t>设多个专题 track，工业界参与多；核查:官网明确 fully in-person</t>
        </is>
      </c>
    </row>
    <row r="152" ht="28" customHeight="1">
      <c r="A152" s="8" t="n">
        <v>151</v>
      </c>
      <c r="B152" s="9" t="inlineStr">
        <is>
          <t>ICCCN</t>
        </is>
      </c>
      <c r="C152" s="8" t="inlineStr">
        <is>
          <t>C</t>
        </is>
      </c>
      <c r="D152" s="12" t="inlineStr">
        <is>
          <t>8 页</t>
        </is>
      </c>
      <c r="E152" s="8" t="inlineStr">
        <is>
          <t>待确认</t>
        </is>
      </c>
      <c r="F152" s="12" t="inlineStr">
        <is>
          <t>待确认</t>
        </is>
      </c>
      <c r="G152" s="8" t="inlineStr">
        <is>
          <t>B</t>
        </is>
      </c>
      <c r="H152" s="8" t="inlineStr">
        <is>
          <t>N</t>
        </is>
      </c>
      <c r="I152" s="10" t="inlineStr">
        <is>
          <t>不限</t>
        </is>
      </c>
      <c r="J152" s="8" t="inlineStr">
        <is>
          <t>已核实</t>
        </is>
      </c>
      <c r="K152" s="10" t="inlineStr">
        <is>
          <t>http://www.icccn.org/icccn27/call-for-papers/index.html</t>
        </is>
      </c>
      <c r="L152" s="10" t="inlineStr">
        <is>
          <t>IEEE 出版，设 poster 与 workshop；核查:线下要求见官方CFP，日期来自第三方汇总</t>
        </is>
      </c>
    </row>
    <row r="153" ht="28" customHeight="1">
      <c r="A153" s="8" t="n">
        <v>152</v>
      </c>
      <c r="B153" s="9" t="inlineStr">
        <is>
          <t>WCNC</t>
        </is>
      </c>
      <c r="C153" s="8" t="inlineStr">
        <is>
          <t>C</t>
        </is>
      </c>
      <c r="D153" s="12" t="inlineStr">
        <is>
          <t>6 页 + refs</t>
        </is>
      </c>
      <c r="E153" s="8" t="inlineStr">
        <is>
          <t>单盲</t>
        </is>
      </c>
      <c r="F153" s="12" t="inlineStr">
        <is>
          <t>官网自建</t>
        </is>
      </c>
      <c r="G153" s="8" t="inlineStr">
        <is>
          <t>B</t>
        </is>
      </c>
      <c r="H153" s="8" t="inlineStr">
        <is>
          <t>N</t>
        </is>
      </c>
      <c r="I153" s="10" t="inlineStr">
        <is>
          <t>不限</t>
        </is>
      </c>
      <c r="J153" s="8" t="inlineStr">
        <is>
          <t>已核实</t>
        </is>
      </c>
      <c r="K153" s="10" t="inlineStr">
        <is>
          <t>https://wcnc2027.ieee-wcnc.org/</t>
        </is>
      </c>
      <c r="L153" s="10" t="inlineStr">
        <is>
          <t>IEEE ComSoc 主办，年度系列；核查:官网称 conducted in person</t>
        </is>
      </c>
    </row>
    <row r="154" ht="28" customHeight="1">
      <c r="A154" s="8" t="n">
        <v>153</v>
      </c>
      <c r="B154" s="9" t="inlineStr">
        <is>
          <t>WoWMoM</t>
        </is>
      </c>
      <c r="C154" s="8" t="inlineStr">
        <is>
          <t>C</t>
        </is>
      </c>
      <c r="D154" s="12" t="inlineStr">
        <is>
          <t>9 页</t>
        </is>
      </c>
      <c r="E154" s="8" t="inlineStr">
        <is>
          <t>待确认</t>
        </is>
      </c>
      <c r="F154" s="12" t="inlineStr">
        <is>
          <t>待确认</t>
        </is>
      </c>
      <c r="G154" s="8" t="inlineStr">
        <is>
          <t>B</t>
        </is>
      </c>
      <c r="H154" s="8" t="inlineStr">
        <is>
          <t>B</t>
        </is>
      </c>
      <c r="I154" s="10" t="inlineStr">
        <is>
          <t>不限</t>
        </is>
      </c>
      <c r="J154" s="8" t="inlineStr">
        <is>
          <t>已核实</t>
        </is>
      </c>
      <c r="K154" s="10" t="inlineStr">
        <is>
          <t>https://wowmom2027.dii.unipi.it/call-for-papers.html</t>
        </is>
      </c>
      <c r="L154" s="10" t="inlineStr">
        <is>
          <t>IEEE 出版，偏系统实现与测量；核查:明确为in-person会议，远程报告不接受</t>
        </is>
      </c>
    </row>
    <row r="155" ht="28" customHeight="1">
      <c r="A155" s="8" t="n">
        <v>154</v>
      </c>
      <c r="B155" s="9" t="inlineStr">
        <is>
          <t>ACISP</t>
        </is>
      </c>
      <c r="C155" s="8" t="inlineStr">
        <is>
          <t>C</t>
        </is>
      </c>
      <c r="D155" s="12" t="inlineStr">
        <is>
          <t>12 页 + refs</t>
        </is>
      </c>
      <c r="E155" s="8" t="inlineStr">
        <is>
          <t>双盲</t>
        </is>
      </c>
      <c r="F155" s="12" t="inlineStr">
        <is>
          <t>EasyChair</t>
        </is>
      </c>
      <c r="G155" s="8" t="inlineStr">
        <is>
          <t>N</t>
        </is>
      </c>
      <c r="H155" s="8" t="inlineStr">
        <is>
          <t>N</t>
        </is>
      </c>
      <c r="I155" s="10" t="inlineStr">
        <is>
          <t>不限</t>
        </is>
      </c>
      <c r="J155" s="8" t="inlineStr">
        <is>
          <t>已核实</t>
        </is>
      </c>
      <c r="K155" s="10" t="inlineStr">
        <is>
          <t>https://acisp.org/cfp.html</t>
        </is>
      </c>
      <c r="L155" s="10" t="inlineStr">
        <is>
          <t>澳洲主办，LNCS 出版；核查:两轮：Round2 2027-03-01截稿/04-16通知；全部轮次 1st round Deadline:2026-12-01 / 2nd round Deadline:2027-03-02</t>
        </is>
      </c>
    </row>
    <row r="156" ht="28" customHeight="1">
      <c r="A156" s="8" t="n">
        <v>155</v>
      </c>
      <c r="B156" s="9" t="inlineStr">
        <is>
          <t>ACNS</t>
        </is>
      </c>
      <c r="C156" s="8" t="inlineStr">
        <is>
          <t>C</t>
        </is>
      </c>
      <c r="D156" s="12" t="inlineStr">
        <is>
          <t>16 页 + refs</t>
        </is>
      </c>
      <c r="E156" s="8" t="inlineStr">
        <is>
          <t>双盲</t>
        </is>
      </c>
      <c r="F156" s="12" t="inlineStr">
        <is>
          <t>待确认</t>
        </is>
      </c>
      <c r="G156" s="8" t="inlineStr">
        <is>
          <t>B</t>
        </is>
      </c>
      <c r="H156" s="8" t="inlineStr">
        <is>
          <t>B</t>
        </is>
      </c>
      <c r="I156" s="10" t="inlineStr">
        <is>
          <t>不限</t>
        </is>
      </c>
      <c r="J156" s="8" t="inlineStr">
        <is>
          <t>已核实</t>
        </is>
      </c>
      <c r="K156" s="10" t="inlineStr">
        <is>
          <t>https://acns2027.isg.rhul.ac.uk/calls/papers</t>
        </is>
      </c>
      <c r="L156" s="10" t="inlineStr">
        <is>
          <t>LNCS 出版，密码与网络安全并重；核查:两轮：Cycle2 2027-01-21截稿/03-25通知；全部轮次 Cycle 1 Submission deadline:2026-09-25 / Cycle 2 Submission deadline:2027-01-22</t>
        </is>
      </c>
    </row>
    <row r="157" ht="28" customHeight="1">
      <c r="A157" s="8" t="n">
        <v>156</v>
      </c>
      <c r="B157" s="9" t="inlineStr">
        <is>
          <t>AsiaCCS</t>
        </is>
      </c>
      <c r="C157" s="8" t="inlineStr">
        <is>
          <t>C</t>
        </is>
      </c>
      <c r="D157" s="12" t="inlineStr">
        <is>
          <t>12 页 + refs</t>
        </is>
      </c>
      <c r="E157" s="8" t="inlineStr">
        <is>
          <t>双盲</t>
        </is>
      </c>
      <c r="F157" s="12" t="inlineStr">
        <is>
          <t>HotCRP</t>
        </is>
      </c>
      <c r="G157" s="8" t="inlineStr">
        <is>
          <t>A</t>
        </is>
      </c>
      <c r="H157" s="8" t="inlineStr">
        <is>
          <t>B</t>
        </is>
      </c>
      <c r="I157" s="10" t="inlineStr">
        <is>
          <t>不限</t>
        </is>
      </c>
      <c r="J157" s="8" t="inlineStr">
        <is>
          <t>已核实</t>
        </is>
      </c>
      <c r="K157" s="10" t="inlineStr">
        <is>
          <t>https://asiaccs2027.cityu.edu.mo/call-for-papers/index.html</t>
        </is>
      </c>
      <c r="L157" s="10" t="inlineStr">
        <is>
          <t>ACM SIGSAC 主办，录用率相对友好；核查:两轮：Cycle2 2026-12-11截稿/2027-03-31通知；全部轮次 1st round Deadline:2026-08-22 / 2nd round Deadline:2026-12-12</t>
        </is>
      </c>
    </row>
    <row r="158" ht="28" customHeight="1">
      <c r="A158" s="8" t="n">
        <v>157</v>
      </c>
      <c r="B158" s="9" t="inlineStr">
        <is>
          <t>BlockSys</t>
        </is>
      </c>
      <c r="C158" s="8" t="inlineStr">
        <is>
          <t>C</t>
        </is>
      </c>
      <c r="D158" s="12" t="inlineStr">
        <is>
          <t>待确认</t>
        </is>
      </c>
      <c r="E158" s="8" t="inlineStr">
        <is>
          <t>待确认</t>
        </is>
      </c>
      <c r="F158" s="12" t="inlineStr">
        <is>
          <t>EasyChair</t>
        </is>
      </c>
      <c r="G158" s="8" t="inlineStr">
        <is>
          <t>N</t>
        </is>
      </c>
      <c r="H158" s="8" t="inlineStr">
        <is>
          <t>N</t>
        </is>
      </c>
      <c r="I158" s="10" t="inlineStr">
        <is>
          <t>不限</t>
        </is>
      </c>
      <c r="J158" s="8" t="inlineStr">
        <is>
          <t>已核实</t>
        </is>
      </c>
      <c r="K158" s="10" t="inlineStr">
        <is>
          <t>https://blocksys.info/2027/call-for-papers/</t>
        </is>
      </c>
      <c r="L158" s="10" t="inlineStr">
        <is>
          <t>国内主办，规模较小；核查:两轮：Round2 2027-01-31截稿/03-15通知；未写参会方式；全部轮次 Round 1 Submission Deadline:2026-12-01 / Round 2 Submission Deadline:2027-02-01</t>
        </is>
      </c>
    </row>
    <row r="159" ht="28" customHeight="1">
      <c r="A159" s="8" t="n">
        <v>158</v>
      </c>
      <c r="B159" s="9" t="inlineStr">
        <is>
          <t>CODASPY</t>
        </is>
      </c>
      <c r="C159" s="8" t="inlineStr">
        <is>
          <t>C</t>
        </is>
      </c>
      <c r="D159" s="12" t="inlineStr">
        <is>
          <t>10 页 + refs</t>
        </is>
      </c>
      <c r="E159" s="8" t="inlineStr">
        <is>
          <t>双盲</t>
        </is>
      </c>
      <c r="F159" s="12" t="inlineStr">
        <is>
          <t>HotCRP</t>
        </is>
      </c>
      <c r="G159" s="8" t="inlineStr">
        <is>
          <t>N</t>
        </is>
      </c>
      <c r="H159" s="8" t="inlineStr">
        <is>
          <t>N</t>
        </is>
      </c>
      <c r="I159" s="10" t="inlineStr">
        <is>
          <t>不限</t>
        </is>
      </c>
      <c r="J159" s="8" t="inlineStr">
        <is>
          <t>已核实</t>
        </is>
      </c>
      <c r="K159" s="10" t="inlineStr">
        <is>
          <t>https://www.codaspy.org/2027/cfp.html</t>
        </is>
      </c>
      <c r="L159" s="10" t="inlineStr">
        <is>
          <t>ACM 主办，偏数据安全与隐私工程；核查:摘要11-16截止；未写参会形式与作者篇数上限</t>
        </is>
      </c>
    </row>
    <row r="160" ht="28" customHeight="1">
      <c r="A160" s="8" t="n">
        <v>159</v>
      </c>
      <c r="B160" s="9" t="inlineStr">
        <is>
          <t>CT-RSA</t>
        </is>
      </c>
      <c r="C160" s="8" t="inlineStr">
        <is>
          <t>C</t>
        </is>
      </c>
      <c r="D160" s="12" t="inlineStr">
        <is>
          <t>16 页 + refs</t>
        </is>
      </c>
      <c r="E160" s="8" t="inlineStr">
        <is>
          <t>双盲</t>
        </is>
      </c>
      <c r="F160" s="12" t="inlineStr">
        <is>
          <t>EasyChair</t>
        </is>
      </c>
      <c r="G160" s="8" t="inlineStr">
        <is>
          <t>B</t>
        </is>
      </c>
      <c r="H160" s="8" t="inlineStr">
        <is>
          <t>B</t>
        </is>
      </c>
      <c r="I160" s="10" t="inlineStr">
        <is>
          <t>不限</t>
        </is>
      </c>
      <c r="J160" s="8" t="inlineStr">
        <is>
          <t>已核实</t>
        </is>
      </c>
      <c r="K160" s="10" t="inlineStr">
        <is>
          <t>https://www.esat.kuleuven.be/cosic/events/ct-rsa-2027/</t>
        </is>
      </c>
      <c r="L160" s="10" t="inlineStr">
        <is>
          <t>与 RSA Conference 同期同地举办；核查:强烈要求现场报告，仅签证等特殊原因例外；通知日为暂定</t>
        </is>
      </c>
    </row>
    <row r="161" ht="28" customHeight="1">
      <c r="A161" s="8" t="n">
        <v>160</v>
      </c>
      <c r="B161" s="9" t="inlineStr">
        <is>
          <t>DFRWS</t>
        </is>
      </c>
      <c r="C161" s="8" t="inlineStr">
        <is>
          <t>C</t>
        </is>
      </c>
      <c r="D161" s="12" t="inlineStr">
        <is>
          <t>待确认</t>
        </is>
      </c>
      <c r="E161" s="8" t="inlineStr">
        <is>
          <t>待确认</t>
        </is>
      </c>
      <c r="F161" s="12" t="inlineStr">
        <is>
          <t>EasyChair</t>
        </is>
      </c>
      <c r="G161" s="8" t="inlineStr">
        <is>
          <t>N</t>
        </is>
      </c>
      <c r="H161" s="8" t="inlineStr">
        <is>
          <t>N</t>
        </is>
      </c>
      <c r="I161" s="10" t="inlineStr">
        <is>
          <t>不限</t>
        </is>
      </c>
      <c r="J161" s="8" t="inlineStr">
        <is>
          <t>已核实</t>
        </is>
      </c>
      <c r="K161" s="10" t="inlineStr">
        <is>
          <t>https://dfrws.org/conferences/dfceurope2027/</t>
        </is>
      </c>
      <c r="L161" s="10" t="inlineStr">
        <is>
          <t>含论文与取证挑战赛两条投稿线；核查:全论文须现场报告；摘要10-02、全文10-09</t>
        </is>
      </c>
    </row>
    <row r="162" ht="28" customHeight="1">
      <c r="A162" s="8" t="n">
        <v>161</v>
      </c>
      <c r="B162" s="9" t="inlineStr">
        <is>
          <t>EuroS&amp;P</t>
        </is>
      </c>
      <c r="C162" s="8" t="inlineStr">
        <is>
          <t>C</t>
        </is>
      </c>
      <c r="D162" s="12" t="inlineStr">
        <is>
          <t>12 页 + refs</t>
        </is>
      </c>
      <c r="E162" s="8" t="inlineStr">
        <is>
          <t>双盲</t>
        </is>
      </c>
      <c r="F162" s="12" t="inlineStr">
        <is>
          <t>HotCRP</t>
        </is>
      </c>
      <c r="G162" s="8" t="inlineStr">
        <is>
          <t>A</t>
        </is>
      </c>
      <c r="H162" s="8" t="inlineStr">
        <is>
          <t>N</t>
        </is>
      </c>
      <c r="I162" s="10" t="inlineStr">
        <is>
          <t>7 篇</t>
        </is>
      </c>
      <c r="J162" s="8" t="inlineStr">
        <is>
          <t>已核实</t>
        </is>
      </c>
      <c r="K162" s="10" t="inlineStr">
        <is>
          <t>https://www.ieee-security.org/TC/EuroSP2027/cfp.html</t>
        </is>
      </c>
      <c r="L162" s="10" t="inlineStr">
        <is>
          <t>IEEE 主办，与 S&amp;P 同系列但独立审稿；核查:官网首屏无CFP，经搜索读到官方CFP要点；摘要注册11-25</t>
        </is>
      </c>
    </row>
    <row r="163" ht="28" customHeight="1">
      <c r="A163" s="8" t="n">
        <v>162</v>
      </c>
      <c r="B163" s="9" t="inlineStr">
        <is>
          <t>FC</t>
        </is>
      </c>
      <c r="C163" s="8" t="inlineStr">
        <is>
          <t>C</t>
        </is>
      </c>
      <c r="D163" s="12" t="inlineStr">
        <is>
          <t>待确认</t>
        </is>
      </c>
      <c r="E163" s="8" t="inlineStr">
        <is>
          <t>双盲</t>
        </is>
      </c>
      <c r="F163" s="12" t="inlineStr">
        <is>
          <t>待确认</t>
        </is>
      </c>
      <c r="G163" s="8" t="inlineStr">
        <is>
          <t>A</t>
        </is>
      </c>
      <c r="H163" s="8" t="inlineStr">
        <is>
          <t>B</t>
        </is>
      </c>
      <c r="I163" s="10" t="inlineStr">
        <is>
          <t>不限</t>
        </is>
      </c>
      <c r="J163" s="8" t="inlineStr">
        <is>
          <t>已核实</t>
        </is>
      </c>
      <c r="K163" s="10" t="inlineStr">
        <is>
          <t>https://fc27.ifca.ai/cfp.html</t>
        </is>
      </c>
      <c r="L163" s="10" t="inlineStr">
        <is>
          <t>加密货币与区块链金融研究重要发表地；核查:只要求每篇至少1人注册，未明说现场报告</t>
        </is>
      </c>
    </row>
    <row r="164" ht="28" customHeight="1">
      <c r="A164" s="8" t="n">
        <v>163</v>
      </c>
      <c r="B164" s="9" t="inlineStr">
        <is>
          <t>ICDF2C</t>
        </is>
      </c>
      <c r="C164" s="8" t="inlineStr">
        <is>
          <t>C</t>
        </is>
      </c>
      <c r="D164" s="12" t="inlineStr">
        <is>
          <t>待确认</t>
        </is>
      </c>
      <c r="E164" s="8" t="inlineStr">
        <is>
          <t>待确认</t>
        </is>
      </c>
      <c r="F164" s="12" t="inlineStr">
        <is>
          <t>EasyChair</t>
        </is>
      </c>
      <c r="G164" s="8" t="inlineStr">
        <is>
          <t>N</t>
        </is>
      </c>
      <c r="H164" s="8" t="inlineStr">
        <is>
          <t>N</t>
        </is>
      </c>
      <c r="I164" s="10" t="inlineStr">
        <is>
          <t>不限</t>
        </is>
      </c>
      <c r="J164" s="8" t="inlineStr">
        <is>
          <t>已核实</t>
        </is>
      </c>
      <c r="K164" s="10" t="inlineStr">
        <is>
          <t>https://icdf2c.eai-conferences.org/2027/</t>
        </is>
      </c>
      <c r="L164" s="10" t="inlineStr">
        <is>
          <t>Springer 出版，偏应用与案例；核查:现场/线上要求未明文，仅页面提及hybrid</t>
        </is>
      </c>
    </row>
    <row r="165" ht="28" customHeight="1">
      <c r="A165" s="8" t="n">
        <v>164</v>
      </c>
      <c r="B165" s="9" t="inlineStr">
        <is>
          <t>IFIP WG 11.9</t>
        </is>
      </c>
      <c r="C165" s="8" t="inlineStr">
        <is>
          <t>C</t>
        </is>
      </c>
      <c r="D165" s="12" t="inlineStr">
        <is>
          <t>待确认</t>
        </is>
      </c>
      <c r="E165" s="8" t="inlineStr">
        <is>
          <t>待确认</t>
        </is>
      </c>
      <c r="F165" s="12" t="inlineStr">
        <is>
          <t>EasyChair</t>
        </is>
      </c>
      <c r="G165" s="8" t="inlineStr">
        <is>
          <t>N</t>
        </is>
      </c>
      <c r="H165" s="8" t="inlineStr">
        <is>
          <t>N</t>
        </is>
      </c>
      <c r="I165" s="10" t="inlineStr">
        <is>
          <t>不限</t>
        </is>
      </c>
      <c r="J165" s="8" t="inlineStr">
        <is>
          <t>已核实</t>
        </is>
      </c>
      <c r="K165" s="10" t="inlineStr">
        <is>
          <t>https://www.ifip119.org/Conferences/WG11-9-CFP-2027.pdf</t>
        </is>
      </c>
      <c r="L165" s="10" t="inlineStr">
        <is>
          <t>小组会形式，讨论充分；核查:CFP为PDF；会议限约100人，现场要求未写明</t>
        </is>
      </c>
    </row>
    <row r="166" ht="28" customHeight="1">
      <c r="A166" s="8" t="n">
        <v>165</v>
      </c>
      <c r="B166" s="9" t="inlineStr">
        <is>
          <t>PETS</t>
        </is>
      </c>
      <c r="C166" s="8" t="inlineStr">
        <is>
          <t>C</t>
        </is>
      </c>
      <c r="D166" s="12" t="inlineStr">
        <is>
          <t>无硬性页数限制</t>
        </is>
      </c>
      <c r="E166" s="8" t="inlineStr">
        <is>
          <t>双盲</t>
        </is>
      </c>
      <c r="F166" s="12" t="inlineStr">
        <is>
          <t>HotCRP</t>
        </is>
      </c>
      <c r="G166" s="8" t="inlineStr">
        <is>
          <t>A</t>
        </is>
      </c>
      <c r="H166" s="8" t="inlineStr">
        <is>
          <t>B</t>
        </is>
      </c>
      <c r="I166" s="10" t="inlineStr">
        <is>
          <t>不限</t>
        </is>
      </c>
      <c r="J166" s="8" t="inlineStr">
        <is>
          <t>已核实</t>
        </is>
      </c>
      <c r="K166" s="10" t="inlineStr">
        <is>
          <t>https://petsymposium.org/cfp27.php</t>
        </is>
      </c>
      <c r="L166" s="10" t="inlineStr">
        <is>
          <t>PoPETs 期刊式出版，全年滚动投稿；核查:PoPETs每年4期滚动征稿，此为最近一期Issue 3；全部轮次 Issue 1 Paper Submission Deadline:2026-06-01 / Issue 2 Paper Submission Deadline:2026-09-01 / Issue 3 Paper Submission Deadline:2026-12-01 / Issue 4 Paper Submission Deadline:2027-03-01</t>
        </is>
      </c>
    </row>
    <row r="167" ht="28" customHeight="1">
      <c r="A167" s="8" t="n">
        <v>166</v>
      </c>
      <c r="B167" s="9" t="inlineStr">
        <is>
          <t>SACMAT</t>
        </is>
      </c>
      <c r="C167" s="8" t="inlineStr">
        <is>
          <t>C</t>
        </is>
      </c>
      <c r="D167" s="12" t="inlineStr">
        <is>
          <t>10 页 + refs</t>
        </is>
      </c>
      <c r="E167" s="8" t="inlineStr">
        <is>
          <t>双盲</t>
        </is>
      </c>
      <c r="F167" s="12" t="inlineStr">
        <is>
          <t>HotCRP</t>
        </is>
      </c>
      <c r="G167" s="8" t="inlineStr">
        <is>
          <t>C</t>
        </is>
      </c>
      <c r="H167" s="8" t="inlineStr">
        <is>
          <t>N</t>
        </is>
      </c>
      <c r="I167" s="10" t="inlineStr">
        <is>
          <t>不限</t>
        </is>
      </c>
      <c r="J167" s="8" t="inlineStr">
        <is>
          <t>2027CFP未发布</t>
        </is>
      </c>
      <c r="K167" s="10" t="inlineStr">
        <is>
          <t>https://www.sacmat.org/2027/</t>
        </is>
      </c>
      <c r="L167" s="10" t="inlineStr">
        <is>
          <t>ACM SIGSAC 主办，访问控制方向最专；核查:官网仅有会期2027-07-19至21及地点，无征稿细则；全部轮次 First Cycle:2026-10-31 / Second Cycle:2027-02-13</t>
        </is>
      </c>
    </row>
    <row r="168" ht="28" customHeight="1">
      <c r="A168" s="8" t="n">
        <v>167</v>
      </c>
      <c r="B168" s="9" t="inlineStr">
        <is>
          <t>SEC</t>
        </is>
      </c>
      <c r="C168" s="8" t="inlineStr">
        <is>
          <t>C</t>
        </is>
      </c>
      <c r="D168" s="12" t="inlineStr">
        <is>
          <t>待确认</t>
        </is>
      </c>
      <c r="E168" s="8" t="inlineStr">
        <is>
          <t>待确认</t>
        </is>
      </c>
      <c r="F168" s="12" t="inlineStr">
        <is>
          <t>EasyChair</t>
        </is>
      </c>
      <c r="G168" s="8" t="inlineStr">
        <is>
          <t>N</t>
        </is>
      </c>
      <c r="H168" s="8" t="inlineStr">
        <is>
          <t>B</t>
        </is>
      </c>
      <c r="I168" s="10" t="inlineStr">
        <is>
          <t>不限</t>
        </is>
      </c>
      <c r="J168" s="8" t="inlineStr">
        <is>
          <t>2027CFP未发布</t>
        </is>
      </c>
      <c r="K168" s="10" t="inlineStr">
        <is>
          <t>https://ifipsec.org/</t>
        </is>
      </c>
      <c r="L168" s="10" t="inlineStr">
        <is>
          <t>Springer 出版，历史悠久；核查:官网写明Full details available soon，无截稿日</t>
        </is>
      </c>
    </row>
    <row r="169" ht="28" customHeight="1">
      <c r="A169" s="8" t="n">
        <v>168</v>
      </c>
      <c r="B169" s="9" t="inlineStr">
        <is>
          <t>SOUPS</t>
        </is>
      </c>
      <c r="C169" s="8" t="inlineStr">
        <is>
          <t>C</t>
        </is>
      </c>
      <c r="D169" s="12" t="inlineStr">
        <is>
          <t>待确认</t>
        </is>
      </c>
      <c r="E169" s="8" t="inlineStr">
        <is>
          <t>双盲</t>
        </is>
      </c>
      <c r="F169" s="12" t="inlineStr">
        <is>
          <t>HotCRP</t>
        </is>
      </c>
      <c r="G169" s="8" t="inlineStr">
        <is>
          <t>B</t>
        </is>
      </c>
      <c r="H169" s="8" t="inlineStr">
        <is>
          <t>B</t>
        </is>
      </c>
      <c r="I169" s="10" t="inlineStr">
        <is>
          <t>不限</t>
        </is>
      </c>
      <c r="J169" s="8" t="inlineStr">
        <is>
          <t>2027CFP未发布</t>
        </is>
      </c>
      <c r="K169" s="10" t="inlineStr">
        <is>
          <t>https://www.usenix.org/conference/soups2027</t>
        </is>
      </c>
      <c r="L169" s="10" t="inlineStr">
        <is>
          <t>USENIX 协办，重视用户研究方法；核查:USENIX页面已建但仅标题，CFP未挂出</t>
        </is>
      </c>
    </row>
    <row r="170" ht="28" customHeight="1">
      <c r="A170" s="8" t="n">
        <v>169</v>
      </c>
      <c r="B170" s="9" t="inlineStr">
        <is>
          <t>SecureComm</t>
        </is>
      </c>
      <c r="C170" s="8" t="inlineStr">
        <is>
          <t>C</t>
        </is>
      </c>
      <c r="D170" s="12" t="inlineStr">
        <is>
          <t>待确认</t>
        </is>
      </c>
      <c r="E170" s="8" t="inlineStr">
        <is>
          <t>单盲</t>
        </is>
      </c>
      <c r="F170" s="12" t="inlineStr">
        <is>
          <t>EasyChair</t>
        </is>
      </c>
      <c r="G170" s="8" t="inlineStr">
        <is>
          <t>C</t>
        </is>
      </c>
      <c r="H170" s="8" t="inlineStr">
        <is>
          <t>N</t>
        </is>
      </c>
      <c r="I170" s="10" t="inlineStr">
        <is>
          <t>不限</t>
        </is>
      </c>
      <c r="J170" s="8" t="inlineStr">
        <is>
          <t>已核实</t>
        </is>
      </c>
      <c r="K170" s="10" t="inlineStr">
        <is>
          <t>https://securecomm.eai-conferences.org/2027/</t>
        </is>
      </c>
      <c r="L170" s="10" t="inlineStr">
        <is>
          <t>Springer 出版，偏通信网络安全；核查:两轮征稿，Cycle1截稿2027-02-01，Cycle2为2027-04-15；全部轮次 Full Paper Submission deadline (Cycle 1):2027-02-02 / Full Paper Submission deadline (Cycle 2):2027-04-16</t>
        </is>
      </c>
    </row>
    <row r="171" ht="28" customHeight="1">
      <c r="A171" s="8" t="n">
        <v>170</v>
      </c>
      <c r="B171" s="9" t="inlineStr">
        <is>
          <t>COMPSAC</t>
        </is>
      </c>
      <c r="C171" s="8" t="inlineStr">
        <is>
          <t>C</t>
        </is>
      </c>
      <c r="D171" s="12" t="inlineStr">
        <is>
          <t>10 页</t>
        </is>
      </c>
      <c r="E171" s="8" t="inlineStr">
        <is>
          <t>单盲</t>
        </is>
      </c>
      <c r="F171" s="12" t="inlineStr">
        <is>
          <t>EasyChair</t>
        </is>
      </c>
      <c r="G171" s="8" t="inlineStr">
        <is>
          <t>B</t>
        </is>
      </c>
      <c r="H171" s="8" t="inlineStr">
        <is>
          <t>N</t>
        </is>
      </c>
      <c r="I171" s="10" t="inlineStr">
        <is>
          <t>不限</t>
        </is>
      </c>
      <c r="J171" s="8" t="inlineStr">
        <is>
          <t>已核实</t>
        </is>
      </c>
      <c r="K171" s="10" t="inlineStr">
        <is>
          <t>https://ieeecompsac.computer.org/2027/</t>
        </is>
      </c>
      <c r="L171" s="10" t="inlineStr">
        <is>
          <t>IEEE 主办，设学生论文与研讨会；核查:官网未明示是否强制现场报告</t>
        </is>
      </c>
    </row>
    <row r="172" ht="28" customHeight="1">
      <c r="A172" s="8" t="n">
        <v>171</v>
      </c>
      <c r="B172" s="9" t="inlineStr">
        <is>
          <t>EASE</t>
        </is>
      </c>
      <c r="C172" s="8" t="inlineStr">
        <is>
          <t>C</t>
        </is>
      </c>
      <c r="D172" s="12" t="inlineStr">
        <is>
          <t>10 页 + refs</t>
        </is>
      </c>
      <c r="E172" s="8" t="inlineStr">
        <is>
          <t>双盲</t>
        </is>
      </c>
      <c r="F172" s="12" t="inlineStr">
        <is>
          <t>EasyChair</t>
        </is>
      </c>
      <c r="G172" s="8" t="inlineStr">
        <is>
          <t>A</t>
        </is>
      </c>
      <c r="H172" s="8" t="inlineStr">
        <is>
          <t>B</t>
        </is>
      </c>
      <c r="I172" s="10" t="inlineStr">
        <is>
          <t>不限</t>
        </is>
      </c>
      <c r="J172" s="8" t="inlineStr">
        <is>
          <t>已核实</t>
        </is>
      </c>
      <c r="K172" s="10" t="inlineStr">
        <is>
          <t>https://conf.researchr.org/dates/ease-2027</t>
        </is>
      </c>
      <c r="L172" s="10" t="inlineStr">
        <is>
          <t>偏实证与工业案例，纯理论稿件不易中；核查:摘要2027-01-15截稿；research track页404，参会政策未知</t>
        </is>
      </c>
    </row>
    <row r="173" ht="28" customHeight="1">
      <c r="A173" s="8" t="n">
        <v>172</v>
      </c>
      <c r="B173" s="9" t="inlineStr">
        <is>
          <t>ICST</t>
        </is>
      </c>
      <c r="C173" s="8" t="inlineStr">
        <is>
          <t>C</t>
        </is>
      </c>
      <c r="D173" s="12" t="inlineStr">
        <is>
          <t>10 页 + refs</t>
        </is>
      </c>
      <c r="E173" s="8" t="inlineStr">
        <is>
          <t>双盲</t>
        </is>
      </c>
      <c r="F173" s="12" t="inlineStr">
        <is>
          <t>HotCRP</t>
        </is>
      </c>
      <c r="G173" s="8" t="inlineStr">
        <is>
          <t>A</t>
        </is>
      </c>
      <c r="H173" s="8" t="inlineStr">
        <is>
          <t>B</t>
        </is>
      </c>
      <c r="I173" s="10" t="inlineStr">
        <is>
          <t>不限</t>
        </is>
      </c>
      <c r="J173" s="8" t="inlineStr">
        <is>
          <t>已核实</t>
        </is>
      </c>
      <c r="K173" s="10" t="inlineStr">
        <is>
          <t>https://conf.researchr.org/track/icst-2027/icst-2027-research-papers</t>
        </is>
      </c>
      <c r="L173" s="10" t="inlineStr">
        <is>
          <t>核查:初筛12-22，重大修改1-31，终审2-20</t>
        </is>
      </c>
    </row>
    <row r="174" ht="28" customHeight="1">
      <c r="A174" s="8" t="n">
        <v>173</v>
      </c>
      <c r="B174" s="9" t="inlineStr">
        <is>
          <t>MSR</t>
        </is>
      </c>
      <c r="C174" s="8" t="inlineStr">
        <is>
          <t>C</t>
        </is>
      </c>
      <c r="D174" s="12" t="inlineStr">
        <is>
          <t>10 页 + refs</t>
        </is>
      </c>
      <c r="E174" s="8" t="inlineStr">
        <is>
          <t>双盲</t>
        </is>
      </c>
      <c r="F174" s="12" t="inlineStr">
        <is>
          <t>HotCRP</t>
        </is>
      </c>
      <c r="G174" s="8" t="inlineStr">
        <is>
          <t>A</t>
        </is>
      </c>
      <c r="H174" s="8" t="inlineStr">
        <is>
          <t>B</t>
        </is>
      </c>
      <c r="I174" s="10" t="inlineStr">
        <is>
          <t>不限</t>
        </is>
      </c>
      <c r="J174" s="8" t="inlineStr">
        <is>
          <t>已核实</t>
        </is>
      </c>
      <c r="K174" s="10" t="inlineStr">
        <is>
          <t>https://2027.msrconf.org/track/msr-2027-technical-papers</t>
        </is>
      </c>
      <c r="L174" s="10" t="inlineStr">
        <is>
          <t>设 Shadow PC 供早期研究者参与评审；核查:摘要2026-10-20、论文10-23已过期；早期拒稿12-03</t>
        </is>
      </c>
    </row>
    <row r="175" ht="28" customHeight="1">
      <c r="A175" s="8" t="n">
        <v>174</v>
      </c>
      <c r="B175" s="9" t="inlineStr">
        <is>
          <t>PEPM</t>
        </is>
      </c>
      <c r="C175" s="8" t="inlineStr">
        <is>
          <t>C</t>
        </is>
      </c>
      <c r="D175" s="12" t="inlineStr">
        <is>
          <t>12 页</t>
        </is>
      </c>
      <c r="E175" s="8" t="inlineStr">
        <is>
          <t>待确认</t>
        </is>
      </c>
      <c r="F175" s="12" t="inlineStr">
        <is>
          <t>HotCRP</t>
        </is>
      </c>
      <c r="G175" s="8" t="inlineStr">
        <is>
          <t>—</t>
        </is>
      </c>
      <c r="H175" s="8" t="inlineStr">
        <is>
          <t>—</t>
        </is>
      </c>
      <c r="I175" s="10" t="inlineStr">
        <is>
          <t>不限</t>
        </is>
      </c>
      <c r="J175" s="8" t="inlineStr">
        <is>
          <t>已核实</t>
        </is>
      </c>
      <c r="K175" s="10" t="inlineStr">
        <is>
          <t>https://popl27.sigplan.org/home/pepm-2027</t>
        </is>
      </c>
      <c r="L175" s="10" t="inlineStr">
        <is>
          <t>SIGPLAN workshop，常与 POPL 同期举办；核查:单盲评审；官网未列录用通知日；会期2027-01-12</t>
        </is>
      </c>
    </row>
    <row r="176" ht="28" customHeight="1">
      <c r="A176" s="8" t="n">
        <v>175</v>
      </c>
      <c r="B176" s="9" t="inlineStr">
        <is>
          <t>REFSQ</t>
        </is>
      </c>
      <c r="C176" s="8" t="inlineStr">
        <is>
          <t>C</t>
        </is>
      </c>
      <c r="D176" s="12" t="inlineStr">
        <is>
          <t>15 页（含 refs）</t>
        </is>
      </c>
      <c r="E176" s="8" t="inlineStr">
        <is>
          <t>双盲</t>
        </is>
      </c>
      <c r="F176" s="12" t="inlineStr">
        <is>
          <t>EasyChair</t>
        </is>
      </c>
      <c r="G176" s="8" t="inlineStr">
        <is>
          <t>B</t>
        </is>
      </c>
      <c r="H176" s="8" t="inlineStr">
        <is>
          <t>N</t>
        </is>
      </c>
      <c r="I176" s="10" t="inlineStr">
        <is>
          <t>不限</t>
        </is>
      </c>
      <c r="J176" s="8" t="inlineStr">
        <is>
          <t>已核实</t>
        </is>
      </c>
      <c r="K176" s="10" t="inlineStr">
        <is>
          <t>https://2027.refsq.org/dates</t>
        </is>
      </c>
      <c r="L176" s="10" t="inlineStr">
        <is>
          <t>LNCS 出版，设工业轨道与海报轨道；核查:摘要2026-11-05；CFP未写参会方式与篇数限制</t>
        </is>
      </c>
    </row>
    <row r="177" ht="28" customHeight="1">
      <c r="A177" s="8" t="n">
        <v>176</v>
      </c>
      <c r="B177" s="9" t="inlineStr">
        <is>
          <t>CPAL</t>
        </is>
      </c>
      <c r="C177" s="8" t="inlineStr">
        <is>
          <t>N</t>
        </is>
      </c>
      <c r="D177" s="12" t="inlineStr">
        <is>
          <t>待确认</t>
        </is>
      </c>
      <c r="E177" s="8" t="inlineStr">
        <is>
          <t>待确认</t>
        </is>
      </c>
      <c r="F177" s="12" t="inlineStr">
        <is>
          <t>OpenReview</t>
        </is>
      </c>
      <c r="G177" s="8" t="inlineStr">
        <is>
          <t>N</t>
        </is>
      </c>
      <c r="H177" s="8" t="inlineStr">
        <is>
          <t>N</t>
        </is>
      </c>
      <c r="I177" s="10" t="inlineStr">
        <is>
          <t>不限</t>
        </is>
      </c>
      <c r="J177" s="8" t="inlineStr">
        <is>
          <t>已核实</t>
        </is>
      </c>
      <c r="K177" s="10" t="inlineStr">
        <is>
          <t>https://cpal.cc/deadlines/</t>
        </is>
      </c>
      <c r="L177" s="10" t="inlineStr">
        <is>
          <t>新兴会议届次少，规则变动大，须查官网；核查:摘要注册11-13；Recent Spotlight截止2027-01-18</t>
        </is>
      </c>
    </row>
    <row r="178" ht="28" customHeight="1">
      <c r="A178" s="8" t="n">
        <v>177</v>
      </c>
      <c r="B178" s="9" t="inlineStr">
        <is>
          <t>CVC</t>
        </is>
      </c>
      <c r="C178" s="8" t="inlineStr">
        <is>
          <t>N</t>
        </is>
      </c>
      <c r="D178" s="12" t="inlineStr">
        <is>
          <t>待确认</t>
        </is>
      </c>
      <c r="E178" s="8" t="inlineStr">
        <is>
          <t>待确认</t>
        </is>
      </c>
      <c r="F178" s="12" t="inlineStr">
        <is>
          <t>待确认</t>
        </is>
      </c>
      <c r="G178" s="8" t="inlineStr">
        <is>
          <t>—</t>
        </is>
      </c>
      <c r="H178" s="8" t="inlineStr">
        <is>
          <t>—</t>
        </is>
      </c>
      <c r="I178" s="10" t="inlineStr">
        <is>
          <t>不限</t>
        </is>
      </c>
      <c r="J178" s="8" t="inlineStr">
        <is>
          <t>2027CFP未发布</t>
        </is>
      </c>
      <c r="K178" s="10" t="inlineStr">
        <is>
          <t>https://saiconference.com/CVC</t>
        </is>
      </c>
      <c r="L178" s="10" t="inlineStr">
        <is>
          <t>信息有限且同名会议多，投稿前务必核实官网；核查:官网仅公布2027-04-15/16会期，投稿页404；全部轮次 Round 1:2026-09-02 / Round 2:2026-10-02</t>
        </is>
      </c>
    </row>
    <row r="179" ht="28" customHeight="1">
      <c r="A179" s="8" t="n">
        <v>178</v>
      </c>
      <c r="B179" s="9" t="inlineStr">
        <is>
          <t>EACL</t>
        </is>
      </c>
      <c r="C179" s="8" t="inlineStr">
        <is>
          <t>N</t>
        </is>
      </c>
      <c r="D179" s="12" t="inlineStr">
        <is>
          <t>8 页 + refs</t>
        </is>
      </c>
      <c r="E179" s="8" t="inlineStr">
        <is>
          <t>双盲</t>
        </is>
      </c>
      <c r="F179" s="12" t="inlineStr">
        <is>
          <t>OpenReview</t>
        </is>
      </c>
      <c r="G179" s="8" t="inlineStr">
        <is>
          <t>A</t>
        </is>
      </c>
      <c r="H179" s="8" t="inlineStr">
        <is>
          <t>N</t>
        </is>
      </c>
      <c r="I179" s="10" t="inlineStr">
        <is>
          <t>不限</t>
        </is>
      </c>
      <c r="J179" s="8" t="inlineStr">
        <is>
          <t>已核实</t>
        </is>
      </c>
      <c r="K179" s="10" t="inlineStr">
        <is>
          <t>https://2027.eacl.org/calls/papers/</t>
        </is>
      </c>
      <c r="L179" s="10" t="inlineStr">
        <is>
          <t>走 ACL Rolling Review 统一投稿；核查:截稿为ARR投稿；须至少1位作者早注册；全部轮次 ARR Submission:2026-08-04 / EACL commitment after ARR meta-reviews; reviewed papers only:2026-10-12</t>
        </is>
      </c>
    </row>
    <row r="180" ht="28" customHeight="1">
      <c r="A180" s="8" t="n">
        <v>179</v>
      </c>
      <c r="B180" s="9" t="inlineStr">
        <is>
          <t>ESANN</t>
        </is>
      </c>
      <c r="C180" s="8" t="inlineStr">
        <is>
          <t>N</t>
        </is>
      </c>
      <c r="D180" s="12" t="inlineStr">
        <is>
          <t>6 页</t>
        </is>
      </c>
      <c r="E180" s="8" t="inlineStr">
        <is>
          <t>待确认</t>
        </is>
      </c>
      <c r="F180" s="12" t="inlineStr">
        <is>
          <t>待确认</t>
        </is>
      </c>
      <c r="G180" s="8" t="inlineStr">
        <is>
          <t>B</t>
        </is>
      </c>
      <c r="H180" s="8" t="inlineStr">
        <is>
          <t>N</t>
        </is>
      </c>
      <c r="I180" s="10" t="inlineStr">
        <is>
          <t>不限</t>
        </is>
      </c>
      <c r="J180" s="8" t="inlineStr">
        <is>
          <t>已核实</t>
        </is>
      </c>
      <c r="K180" s="10" t="inlineStr">
        <is>
          <t>https://www.esann.org/</t>
        </is>
      </c>
      <c r="L180" s="10" t="inlineStr">
        <is>
          <t>会场标注 and Online，实际为线下+线上并行</t>
        </is>
      </c>
    </row>
    <row r="181" ht="28" customHeight="1">
      <c r="A181" s="8" t="n">
        <v>180</v>
      </c>
      <c r="B181" s="9" t="inlineStr">
        <is>
          <t>EuroGP</t>
        </is>
      </c>
      <c r="C181" s="8" t="inlineStr">
        <is>
          <t>N</t>
        </is>
      </c>
      <c r="D181" s="12" t="inlineStr">
        <is>
          <t>12 页 + refs</t>
        </is>
      </c>
      <c r="E181" s="8" t="inlineStr">
        <is>
          <t>双盲</t>
        </is>
      </c>
      <c r="F181" s="12" t="inlineStr">
        <is>
          <t>EasyChair</t>
        </is>
      </c>
      <c r="G181" s="8" t="inlineStr">
        <is>
          <t>B</t>
        </is>
      </c>
      <c r="H181" s="8" t="inlineStr">
        <is>
          <t>N</t>
        </is>
      </c>
      <c r="I181" s="10" t="inlineStr">
        <is>
          <t>不限</t>
        </is>
      </c>
      <c r="J181" s="8" t="inlineStr">
        <is>
          <t>已核实</t>
        </is>
      </c>
      <c r="K181" s="10" t="inlineStr">
        <is>
          <t>https://www.evostar.org/2027/submit-paper/</t>
        </is>
      </c>
      <c r="L181" s="10" t="inlineStr">
        <is>
          <t>EvoStar 联合会议之一，LNCS 出版；核查:官网未公布截稿/通知日期</t>
        </is>
      </c>
    </row>
    <row r="182" ht="28" customHeight="1">
      <c r="A182" s="8" t="n">
        <v>181</v>
      </c>
      <c r="B182" s="9" t="inlineStr">
        <is>
          <t>EvoApplications</t>
        </is>
      </c>
      <c r="C182" s="8" t="inlineStr">
        <is>
          <t>N</t>
        </is>
      </c>
      <c r="D182" s="12" t="inlineStr">
        <is>
          <t>12 页 + refs</t>
        </is>
      </c>
      <c r="E182" s="8" t="inlineStr">
        <is>
          <t>双盲</t>
        </is>
      </c>
      <c r="F182" s="12" t="inlineStr">
        <is>
          <t>EasyChair</t>
        </is>
      </c>
      <c r="G182" s="8" t="inlineStr">
        <is>
          <t>B</t>
        </is>
      </c>
      <c r="H182" s="8" t="inlineStr">
        <is>
          <t>N</t>
        </is>
      </c>
      <c r="I182" s="10" t="inlineStr">
        <is>
          <t>不限</t>
        </is>
      </c>
      <c r="J182" s="8" t="inlineStr">
        <is>
          <t>已核实</t>
        </is>
      </c>
      <c r="K182" s="10" t="inlineStr">
        <is>
          <t>https://www.evostar.org/2027/submit-paper/</t>
        </is>
      </c>
      <c r="L182" s="10" t="inlineStr">
        <is>
          <t>EvoStar 联合会议之一，按应用领域分会；核查:官网未公布截稿/通知日期</t>
        </is>
      </c>
    </row>
    <row r="183" ht="28" customHeight="1">
      <c r="A183" s="8" t="n">
        <v>182</v>
      </c>
      <c r="B183" s="9" t="inlineStr">
        <is>
          <t>EvoCOP</t>
        </is>
      </c>
      <c r="C183" s="8" t="inlineStr">
        <is>
          <t>N</t>
        </is>
      </c>
      <c r="D183" s="12" t="inlineStr">
        <is>
          <t>12 页 + refs</t>
        </is>
      </c>
      <c r="E183" s="8" t="inlineStr">
        <is>
          <t>双盲</t>
        </is>
      </c>
      <c r="F183" s="12" t="inlineStr">
        <is>
          <t>EasyChair</t>
        </is>
      </c>
      <c r="G183" s="8" t="inlineStr">
        <is>
          <t>B</t>
        </is>
      </c>
      <c r="H183" s="8" t="inlineStr">
        <is>
          <t>N</t>
        </is>
      </c>
      <c r="I183" s="10" t="inlineStr">
        <is>
          <t>不限</t>
        </is>
      </c>
      <c r="J183" s="8" t="inlineStr">
        <is>
          <t>已核实</t>
        </is>
      </c>
      <c r="K183" s="10" t="inlineStr">
        <is>
          <t>https://www.evostar.org/2027/submit-paper/</t>
        </is>
      </c>
      <c r="L183" s="10" t="inlineStr">
        <is>
          <t>EvoStar 联合会议之一，偏算法与基准对比；核查:官网未公布截稿/通知日期</t>
        </is>
      </c>
    </row>
    <row r="184" ht="28" customHeight="1">
      <c r="A184" s="8" t="n">
        <v>183</v>
      </c>
      <c r="B184" s="9" t="inlineStr">
        <is>
          <t>EvoMUSART</t>
        </is>
      </c>
      <c r="C184" s="8" t="inlineStr">
        <is>
          <t>N</t>
        </is>
      </c>
      <c r="D184" s="12" t="inlineStr">
        <is>
          <t>12 页 + refs</t>
        </is>
      </c>
      <c r="E184" s="8" t="inlineStr">
        <is>
          <t>待确认</t>
        </is>
      </c>
      <c r="F184" s="12" t="inlineStr">
        <is>
          <t>EasyChair</t>
        </is>
      </c>
      <c r="G184" s="8" t="inlineStr">
        <is>
          <t>B</t>
        </is>
      </c>
      <c r="H184" s="8" t="inlineStr">
        <is>
          <t>N</t>
        </is>
      </c>
      <c r="I184" s="10" t="inlineStr">
        <is>
          <t>不限</t>
        </is>
      </c>
      <c r="J184" s="8" t="inlineStr">
        <is>
          <t>已核实</t>
        </is>
      </c>
      <c r="K184" s="10" t="inlineStr">
        <is>
          <t>https://www.evostar.org/2027/submit-paper/</t>
        </is>
      </c>
      <c r="L184" s="10" t="inlineStr">
        <is>
          <t>EvoStar 联合会议之一，接受作品与演示；核查:2027官网已上线但未列截稿/通知日期，仅确认须到场报告</t>
        </is>
      </c>
    </row>
    <row r="185" ht="28" customHeight="1">
      <c r="A185" s="8" t="n">
        <v>184</v>
      </c>
      <c r="B185" s="9" t="inlineStr">
        <is>
          <t>RSS</t>
        </is>
      </c>
      <c r="C185" s="8" t="inlineStr">
        <is>
          <t>N</t>
        </is>
      </c>
      <c r="D185" s="12" t="inlineStr">
        <is>
          <t>8 页 + refs</t>
        </is>
      </c>
      <c r="E185" s="8" t="inlineStr">
        <is>
          <t>双盲</t>
        </is>
      </c>
      <c r="F185" s="12" t="inlineStr">
        <is>
          <t>OpenReview</t>
        </is>
      </c>
      <c r="G185" s="8" t="inlineStr">
        <is>
          <t>A*</t>
        </is>
      </c>
      <c r="H185" s="8" t="inlineStr">
        <is>
          <t>A</t>
        </is>
      </c>
      <c r="I185" s="10" t="inlineStr">
        <is>
          <t>不限</t>
        </is>
      </c>
      <c r="J185" s="8" t="inlineStr">
        <is>
          <t>已核实</t>
        </is>
      </c>
      <c r="K185" s="10" t="inlineStr">
        <is>
          <t>https://roboticsconference.org/</t>
        </is>
      </c>
      <c r="L185" s="10" t="inlineStr">
        <is>
          <t>强调真实机器人实验，纯仿真工作较难；核查:12-04为扩展摘要截稿；正式论文4-16，录用通知4-30</t>
        </is>
      </c>
    </row>
    <row r="186" ht="28" customHeight="1">
      <c r="A186" s="8" t="n">
        <v>185</v>
      </c>
      <c r="B186" s="9" t="inlineStr">
        <is>
          <t>WACV</t>
        </is>
      </c>
      <c r="C186" s="8" t="inlineStr">
        <is>
          <t>N</t>
        </is>
      </c>
      <c r="D186" s="12" t="inlineStr">
        <is>
          <t>8 页 + refs</t>
        </is>
      </c>
      <c r="E186" s="8" t="inlineStr">
        <is>
          <t>双盲</t>
        </is>
      </c>
      <c r="F186" s="12" t="inlineStr">
        <is>
          <t>OpenReview</t>
        </is>
      </c>
      <c r="G186" s="8" t="inlineStr">
        <is>
          <t>A</t>
        </is>
      </c>
      <c r="H186" s="8" t="inlineStr">
        <is>
          <t>N</t>
        </is>
      </c>
      <c r="I186" s="10" t="inlineStr">
        <is>
          <t>不限</t>
        </is>
      </c>
      <c r="J186" s="8" t="inlineStr">
        <is>
          <t>已核实</t>
        </is>
      </c>
      <c r="K186" s="10" t="inlineStr">
        <is>
          <t>https://wacv.thecvf.com/Conferences/2027/Dates</t>
        </is>
      </c>
      <c r="L186" s="10" t="inlineStr">
        <is>
          <t>CVF 格式，两轮投稿，录用后须到场；核查:两轮投稿：R1 2026-06-26、R2 2026-08-28；两轮终审同为10-14；全部轮次 First round:2026-06-27 / Second round:2026-08-29</t>
        </is>
      </c>
    </row>
    <row r="187" ht="28" customHeight="1">
      <c r="A187" s="8" t="n">
        <v>186</v>
      </c>
      <c r="B187" s="9" t="inlineStr">
        <is>
          <t>ACM SIGGRAPH ASIA</t>
        </is>
      </c>
      <c r="C187" s="8" t="inlineStr">
        <is>
          <t>N</t>
        </is>
      </c>
      <c r="D187" s="12" t="inlineStr">
        <is>
          <t>无固定上限（TOG 期刊发表）</t>
        </is>
      </c>
      <c r="E187" s="8" t="inlineStr">
        <is>
          <t>单盲</t>
        </is>
      </c>
      <c r="F187" s="12" t="inlineStr">
        <is>
          <t>官网自建</t>
        </is>
      </c>
      <c r="G187" s="8" t="inlineStr">
        <is>
          <t>A*</t>
        </is>
      </c>
      <c r="H187" s="8" t="inlineStr">
        <is>
          <t>N</t>
        </is>
      </c>
      <c r="I187" s="10" t="inlineStr">
        <is>
          <t>不限</t>
        </is>
      </c>
      <c r="J187" s="8" t="inlineStr">
        <is>
          <t>2027CFP未发布</t>
        </is>
      </c>
      <c r="K187" s="10" t="inlineStr">
        <is>
          <t>https://asia.siggraph.org/2027/</t>
        </is>
      </c>
      <c r="L187" s="10" t="inlineStr">
        <is>
          <t>技术论文经 ACM TOG 期刊通道发表；核查:2027页面404，当前官网仅至2026届（吉隆坡12/1-4）</t>
        </is>
      </c>
    </row>
    <row r="188" ht="28" customHeight="1">
      <c r="A188" s="8" t="n">
        <v>187</v>
      </c>
      <c r="B188" s="9" t="inlineStr">
        <is>
          <t>EUSIPCO</t>
        </is>
      </c>
      <c r="C188" s="8" t="inlineStr">
        <is>
          <t>N</t>
        </is>
      </c>
      <c r="D188" s="12" t="inlineStr">
        <is>
          <t>4 页 + refs</t>
        </is>
      </c>
      <c r="E188" s="8" t="inlineStr">
        <is>
          <t>单盲</t>
        </is>
      </c>
      <c r="F188" s="12" t="inlineStr">
        <is>
          <t>待确认</t>
        </is>
      </c>
      <c r="G188" s="8" t="inlineStr">
        <is>
          <t>N</t>
        </is>
      </c>
      <c r="H188" s="8" t="inlineStr">
        <is>
          <t>N</t>
        </is>
      </c>
      <c r="I188" s="10" t="inlineStr">
        <is>
          <t>不限</t>
        </is>
      </c>
      <c r="J188" s="8" t="inlineStr">
        <is>
          <t>已核实</t>
        </is>
      </c>
      <c r="K188" s="10" t="inlineStr">
        <is>
          <t>https://eusipco2027.de/</t>
        </is>
      </c>
      <c r="L188" s="10" t="inlineStr">
        <is>
          <t>EURASIP 主办，短文为主，无 rebuttal；核查:会期2027-08-30至09-03，达姆施塔特；未列录用通知日</t>
        </is>
      </c>
    </row>
    <row r="189" ht="28" customHeight="1">
      <c r="A189" s="8" t="n">
        <v>188</v>
      </c>
      <c r="B189" s="9" t="inlineStr">
        <is>
          <t>IEEE CoG</t>
        </is>
      </c>
      <c r="C189" s="8" t="inlineStr">
        <is>
          <t>N</t>
        </is>
      </c>
      <c r="D189" s="12" t="inlineStr">
        <is>
          <t>8 页 + refs</t>
        </is>
      </c>
      <c r="E189" s="8" t="inlineStr">
        <is>
          <t>待确认</t>
        </is>
      </c>
      <c r="F189" s="12" t="inlineStr">
        <is>
          <t>待确认</t>
        </is>
      </c>
      <c r="G189" s="8" t="inlineStr">
        <is>
          <t>C</t>
        </is>
      </c>
      <c r="H189" s="8" t="inlineStr">
        <is>
          <t>N</t>
        </is>
      </c>
      <c r="I189" s="10" t="inlineStr">
        <is>
          <t>不限</t>
        </is>
      </c>
      <c r="J189" s="8" t="inlineStr">
        <is>
          <t>未找到</t>
        </is>
      </c>
      <c r="K189" s="10" t="inlineStr">
        <is>
          <t>—</t>
        </is>
      </c>
      <c r="L189" s="10" t="inlineStr">
        <is>
          <t>IEEE 主办，含竞赛与 demo track；核查:官网仅返回标题无正文，call-for-papers子页404；全部轮次 Full Technical Paper:2027-03-02 / Auxiliary Paper:2027-05-16</t>
        </is>
      </c>
    </row>
    <row r="190" ht="28" customHeight="1">
      <c r="A190" s="8" t="n">
        <v>189</v>
      </c>
      <c r="B190" s="9" t="inlineStr">
        <is>
          <t>ISIT</t>
        </is>
      </c>
      <c r="C190" s="8" t="inlineStr">
        <is>
          <t>N</t>
        </is>
      </c>
      <c r="D190" s="12" t="inlineStr">
        <is>
          <t>5 页</t>
        </is>
      </c>
      <c r="E190" s="8" t="inlineStr">
        <is>
          <t>待确认</t>
        </is>
      </c>
      <c r="F190" s="12" t="inlineStr">
        <is>
          <t>待确认</t>
        </is>
      </c>
      <c r="G190" s="8" t="inlineStr">
        <is>
          <t>B</t>
        </is>
      </c>
      <c r="H190" s="8" t="inlineStr">
        <is>
          <t>B</t>
        </is>
      </c>
      <c r="I190" s="10" t="inlineStr">
        <is>
          <t>不限</t>
        </is>
      </c>
      <c r="J190" s="8" t="inlineStr">
        <is>
          <t>已核实</t>
        </is>
      </c>
      <c r="K190" s="10" t="inlineStr">
        <is>
          <t>https://2027.ieee-isit.org/call-papers</t>
        </is>
      </c>
      <c r="L190" s="10" t="inlineStr">
        <is>
          <t>IEEE IT Society 旗舰，纯理论向，篇幅极短；核查:录用须至少一位作者现场报告方入Xplore；CFP未写线上参会与篇数上限</t>
        </is>
      </c>
    </row>
    <row r="191" ht="28" customHeight="1">
      <c r="A191" s="8" t="n">
        <v>190</v>
      </c>
      <c r="B191" s="9" t="inlineStr">
        <is>
          <t>CHIIR</t>
        </is>
      </c>
      <c r="C191" s="8" t="inlineStr">
        <is>
          <t>N</t>
        </is>
      </c>
      <c r="D191" s="12" t="inlineStr">
        <is>
          <t>10 页 + refs</t>
        </is>
      </c>
      <c r="E191" s="8" t="inlineStr">
        <is>
          <t>双盲</t>
        </is>
      </c>
      <c r="F191" s="12" t="inlineStr">
        <is>
          <t>待确认</t>
        </is>
      </c>
      <c r="G191" s="8" t="inlineStr">
        <is>
          <t>B</t>
        </is>
      </c>
      <c r="H191" s="8" t="inlineStr">
        <is>
          <t>—</t>
        </is>
      </c>
      <c r="I191" s="10" t="inlineStr">
        <is>
          <t>不限</t>
        </is>
      </c>
      <c r="J191" s="8" t="inlineStr">
        <is>
          <t>已核实</t>
        </is>
      </c>
      <c r="K191" s="10" t="inlineStr">
        <is>
          <t>https://chiir2027.github.io/</t>
        </is>
      </c>
      <c r="L191" s="10" t="inlineStr">
        <is>
          <t>ACM SIGIR 系列，偏用户实验与人因；核查:官网称线下举办，但未明确作者到场条款；全文摘要截稿10-8</t>
        </is>
      </c>
    </row>
    <row r="192" ht="28" customHeight="1">
      <c r="A192" s="8" t="n">
        <v>191</v>
      </c>
      <c r="B192" s="9" t="inlineStr">
        <is>
          <t>CLEF</t>
        </is>
      </c>
      <c r="C192" s="8" t="inlineStr">
        <is>
          <t>N</t>
        </is>
      </c>
      <c r="D192" s="12" t="inlineStr">
        <is>
          <t>待确认</t>
        </is>
      </c>
      <c r="E192" s="8" t="inlineStr">
        <is>
          <t>待确认</t>
        </is>
      </c>
      <c r="F192" s="12" t="inlineStr">
        <is>
          <t>EasyChair</t>
        </is>
      </c>
      <c r="G192" s="8" t="inlineStr">
        <is>
          <t>N</t>
        </is>
      </c>
      <c r="H192" s="8" t="inlineStr">
        <is>
          <t>N</t>
        </is>
      </c>
      <c r="I192" s="10" t="inlineStr">
        <is>
          <t>不限</t>
        </is>
      </c>
      <c r="J192" s="8" t="inlineStr">
        <is>
          <t>2027CFP未发布</t>
        </is>
      </c>
      <c r="K192" s="10" t="inlineStr">
        <is>
          <t>https://clef2027.clef-initiative.eu/</t>
        </is>
      </c>
      <c r="L192" s="10" t="inlineStr">
        <is>
          <t>以 Labs 共享任务为主，论文多为评测报告；核查:官网仅公布会期2027-09-14/17与Lab提案征集，论文CFP未出</t>
        </is>
      </c>
    </row>
    <row r="193" ht="28" customHeight="1">
      <c r="A193" s="8" t="n">
        <v>192</v>
      </c>
      <c r="B193" s="9" t="inlineStr">
        <is>
          <t>HICSS</t>
        </is>
      </c>
      <c r="C193" s="8" t="inlineStr">
        <is>
          <t>N</t>
        </is>
      </c>
      <c r="D193" s="12" t="inlineStr">
        <is>
          <t>10 页</t>
        </is>
      </c>
      <c r="E193" s="8" t="inlineStr">
        <is>
          <t>待确认</t>
        </is>
      </c>
      <c r="F193" s="12" t="inlineStr">
        <is>
          <t>待确认</t>
        </is>
      </c>
      <c r="G193" s="8" t="inlineStr">
        <is>
          <t>A</t>
        </is>
      </c>
      <c r="H193" s="8" t="inlineStr">
        <is>
          <t>N</t>
        </is>
      </c>
      <c r="I193" s="10" t="inlineStr">
        <is>
          <t>5 篇</t>
        </is>
      </c>
      <c r="J193" s="8" t="inlineStr">
        <is>
          <t>已核实</t>
        </is>
      </c>
      <c r="K193" s="10" t="inlineStr">
        <is>
          <t>https://hicss.hawaii.edu</t>
        </is>
      </c>
      <c r="L193" s="10" t="inlineStr">
        <is>
          <t>以 Minitrack 组织，投稿须先选 track；核查:抓取时官网维护，日期与5篇上限取自官网快照及minitrack CFP</t>
        </is>
      </c>
    </row>
    <row r="194" ht="28" customHeight="1">
      <c r="A194" s="8" t="n">
        <v>193</v>
      </c>
      <c r="B194" s="9" t="inlineStr">
        <is>
          <t>BIS</t>
        </is>
      </c>
      <c r="C194" s="8" t="inlineStr">
        <is>
          <t>N</t>
        </is>
      </c>
      <c r="D194" s="12" t="inlineStr">
        <is>
          <t>12 页</t>
        </is>
      </c>
      <c r="E194" s="8" t="inlineStr">
        <is>
          <t>单盲</t>
        </is>
      </c>
      <c r="F194" s="12" t="inlineStr">
        <is>
          <t>EasyChair</t>
        </is>
      </c>
      <c r="G194" s="8" t="inlineStr">
        <is>
          <t>N</t>
        </is>
      </c>
      <c r="H194" s="8" t="inlineStr">
        <is>
          <t>N</t>
        </is>
      </c>
      <c r="I194" s="10" t="inlineStr">
        <is>
          <t>不限</t>
        </is>
      </c>
      <c r="J194" s="8" t="inlineStr">
        <is>
          <t>已核实</t>
        </is>
      </c>
      <c r="K194" s="10" t="inlineStr">
        <is>
          <t>http://bisconf.org/2027/call-for-papers/</t>
        </is>
      </c>
      <c r="L194" s="10" t="inlineStr">
        <is>
          <t>Springer LNBIP 出版；核查:官网明示in-person only，remote attendance not supported</t>
        </is>
      </c>
    </row>
    <row r="195" ht="28" customHeight="1">
      <c r="A195" s="8" t="n">
        <v>194</v>
      </c>
      <c r="B195" s="9" t="inlineStr">
        <is>
          <t>MLSys</t>
        </is>
      </c>
      <c r="C195" s="8" t="inlineStr">
        <is>
          <t>N</t>
        </is>
      </c>
      <c r="D195" s="12" t="inlineStr">
        <is>
          <t>待确认</t>
        </is>
      </c>
      <c r="E195" s="8" t="inlineStr">
        <is>
          <t>双盲</t>
        </is>
      </c>
      <c r="F195" s="12" t="inlineStr">
        <is>
          <t>待确认</t>
        </is>
      </c>
      <c r="G195" s="8" t="inlineStr">
        <is>
          <t>N</t>
        </is>
      </c>
      <c r="H195" s="8" t="inlineStr">
        <is>
          <t>N</t>
        </is>
      </c>
      <c r="I195" s="10" t="inlineStr">
        <is>
          <t>按合著人数配额：单作者论文最多 2 篇，10+ 作者论文最多 20 篇</t>
        </is>
      </c>
      <c r="J195" s="8" t="inlineStr">
        <is>
          <t>已核实</t>
        </is>
      </c>
      <c r="K195" s="10" t="inlineStr">
        <is>
          <t>https://mlsys.org/Conferences/2027/CallForResearchPapers</t>
        </is>
      </c>
      <c r="L195" s="10" t="inlineStr">
        <is>
          <t>重系统实现与实测，通常需开源代码；核查:配额制：单作者2篇、10人合作20篇；CFP未提现场报告要求；重查:CFP 未写到场要求</t>
        </is>
      </c>
    </row>
    <row r="196" ht="28" customHeight="1">
      <c r="A196" s="8" t="n">
        <v>195</v>
      </c>
      <c r="B196" s="9" t="inlineStr">
        <is>
          <t>SAI</t>
        </is>
      </c>
      <c r="C196" s="8" t="inlineStr">
        <is>
          <t>N</t>
        </is>
      </c>
      <c r="D196" s="12" t="inlineStr">
        <is>
          <t>待确认</t>
        </is>
      </c>
      <c r="E196" s="8" t="inlineStr">
        <is>
          <t>待确认</t>
        </is>
      </c>
      <c r="F196" s="12" t="inlineStr">
        <is>
          <t>EasyChair</t>
        </is>
      </c>
      <c r="G196" s="8" t="inlineStr">
        <is>
          <t>—</t>
        </is>
      </c>
      <c r="H196" s="8" t="inlineStr">
        <is>
          <t>—</t>
        </is>
      </c>
      <c r="I196" s="10" t="inlineStr">
        <is>
          <t>不限</t>
        </is>
      </c>
      <c r="J196" s="8" t="inlineStr">
        <is>
          <t>未找到</t>
        </is>
      </c>
      <c r="K196" s="10" t="inlineStr">
        <is>
          <t>https://saiconference.com/Computing</t>
        </is>
      </c>
      <c r="L196" s="10" t="inlineStr">
        <is>
          <t>录用门槛相对宽松，需留意注册与版面费；核查:官网仅给出会期2027-07-08/09，未见截稿日；全部轮次 Round 1:2026-10-02 / Round 2:2026-12-02</t>
        </is>
      </c>
    </row>
    <row r="197" ht="28" customHeight="1">
      <c r="A197" s="8" t="n">
        <v>196</v>
      </c>
      <c r="B197" s="9" t="inlineStr">
        <is>
          <t>SIGCSE</t>
        </is>
      </c>
      <c r="C197" s="8" t="inlineStr">
        <is>
          <t>N</t>
        </is>
      </c>
      <c r="D197" s="12" t="inlineStr">
        <is>
          <t>6 页 + refs</t>
        </is>
      </c>
      <c r="E197" s="8" t="inlineStr">
        <is>
          <t>双盲</t>
        </is>
      </c>
      <c r="F197" s="12" t="inlineStr">
        <is>
          <t>待确认</t>
        </is>
      </c>
      <c r="G197" s="8" t="inlineStr">
        <is>
          <t>A</t>
        </is>
      </c>
      <c r="H197" s="8" t="inlineStr">
        <is>
          <t>N</t>
        </is>
      </c>
      <c r="I197" s="10" t="inlineStr">
        <is>
          <t>不限</t>
        </is>
      </c>
      <c r="J197" s="8" t="inlineStr">
        <is>
          <t>已核实</t>
        </is>
      </c>
      <c r="K197" s="10" t="inlineStr">
        <is>
          <t>https://2027.sigcse-ts.acm.org/</t>
        </is>
      </c>
      <c r="L197" s="10" t="inlineStr">
        <is>
          <t>教育类会议，非传统科研投稿，重教学实证；核查:论文摘要2026-06-26，一轮正文2026-07-03</t>
        </is>
      </c>
    </row>
    <row r="198" ht="28" customHeight="1">
      <c r="A198" s="8" t="n">
        <v>197</v>
      </c>
      <c r="B198" s="9" t="inlineStr">
        <is>
          <t>MMSys</t>
        </is>
      </c>
      <c r="C198" s="8" t="inlineStr">
        <is>
          <t>N</t>
        </is>
      </c>
      <c r="D198" s="12" t="inlineStr">
        <is>
          <t>待确认</t>
        </is>
      </c>
      <c r="E198" s="8" t="inlineStr">
        <is>
          <t>双盲</t>
        </is>
      </c>
      <c r="F198" s="12" t="inlineStr">
        <is>
          <t>待确认</t>
        </is>
      </c>
      <c r="G198" s="8" t="inlineStr">
        <is>
          <t>A</t>
        </is>
      </c>
      <c r="H198" s="8" t="inlineStr">
        <is>
          <t>N</t>
        </is>
      </c>
      <c r="I198" s="10" t="inlineStr">
        <is>
          <t>不限</t>
        </is>
      </c>
      <c r="J198" s="8" t="inlineStr">
        <is>
          <t>已核实</t>
        </is>
      </c>
      <c r="K198" s="10" t="inlineStr">
        <is>
          <t>https://2027.acmmmsys.org/research-track.html</t>
        </is>
      </c>
      <c r="L198" s="10" t="inlineStr">
        <is>
          <t>ACM SIGMM 系列，偏系统与实测；核查:官网仅有会期，CFP子页404；重查:研究轨两轮截稿 2026-09-17 / 11-19；页面未写到场与新人条款；全部轮次 Research Track - First Round (extended):2026-09-18 / Research Track - Second Round:2026-11-20</t>
        </is>
      </c>
    </row>
    <row r="199" ht="28" customHeight="1">
      <c r="A199" s="8" t="n">
        <v>198</v>
      </c>
      <c r="B199" s="9" t="inlineStr">
        <is>
          <t>NOMS</t>
        </is>
      </c>
      <c r="C199" s="8" t="inlineStr">
        <is>
          <t>N</t>
        </is>
      </c>
      <c r="D199" s="12" t="inlineStr">
        <is>
          <t>待确认</t>
        </is>
      </c>
      <c r="E199" s="8" t="inlineStr">
        <is>
          <t>待确认</t>
        </is>
      </c>
      <c r="F199" s="12" t="inlineStr">
        <is>
          <t>待确认</t>
        </is>
      </c>
      <c r="G199" s="8" t="inlineStr">
        <is>
          <t>B</t>
        </is>
      </c>
      <c r="H199" s="8" t="inlineStr">
        <is>
          <t>B</t>
        </is>
      </c>
      <c r="I199" s="10" t="inlineStr">
        <is>
          <t>不限</t>
        </is>
      </c>
      <c r="J199" s="8" t="inlineStr">
        <is>
          <t>已核实</t>
        </is>
      </c>
      <c r="K199" s="10" t="inlineStr">
        <is>
          <t>https://noms2027.ieee-noms.org/authors/call-technical-session-paper</t>
        </is>
      </c>
      <c r="L199" s="10" t="inlineStr">
        <is>
          <t>IEEE/IFIP 联合主办，偏工业运维实践；核查:CFP未写现场报告与远程参会要求；重查:重查失败：官网拒绝抓取（HTTP 418），需人工打开</t>
        </is>
      </c>
    </row>
    <row r="200" ht="28" customHeight="1">
      <c r="A200" s="8" t="n">
        <v>199</v>
      </c>
      <c r="B200" s="9" t="inlineStr">
        <is>
          <t>SAIS</t>
        </is>
      </c>
      <c r="C200" s="8" t="inlineStr">
        <is>
          <t>N</t>
        </is>
      </c>
      <c r="D200" s="12" t="inlineStr">
        <is>
          <t>待确认</t>
        </is>
      </c>
      <c r="E200" s="8" t="inlineStr">
        <is>
          <t>待确认</t>
        </is>
      </c>
      <c r="F200" s="12" t="inlineStr">
        <is>
          <t>HotCRP</t>
        </is>
      </c>
      <c r="G200" s="8" t="inlineStr">
        <is>
          <t>N</t>
        </is>
      </c>
      <c r="H200" s="8" t="inlineStr">
        <is>
          <t>N</t>
        </is>
      </c>
      <c r="I200" s="10" t="inlineStr">
        <is>
          <t>不限</t>
        </is>
      </c>
      <c r="J200" s="8" t="inlineStr">
        <is>
          <t>已核实</t>
        </is>
      </c>
      <c r="K200" s="10" t="inlineStr">
        <is>
          <t>https://www.usenix.org/conference/sais27/call-for-papers</t>
        </is>
      </c>
      <c r="L200" s="10" t="inlineStr">
        <is>
          <t>USENIX 新设会议，首届规则可能调整；核查:首年新会议，Preliminary CFP</t>
        </is>
      </c>
    </row>
    <row r="201" ht="28" customHeight="1">
      <c r="A201" s="8" t="n">
        <v>200</v>
      </c>
      <c r="B201" s="9" t="inlineStr">
        <is>
          <t>SATML</t>
        </is>
      </c>
      <c r="C201" s="8" t="inlineStr">
        <is>
          <t>N</t>
        </is>
      </c>
      <c r="D201" s="12" t="inlineStr">
        <is>
          <t>待确认</t>
        </is>
      </c>
      <c r="E201" s="8" t="inlineStr">
        <is>
          <t>双盲</t>
        </is>
      </c>
      <c r="F201" s="12" t="inlineStr">
        <is>
          <t>OpenReview</t>
        </is>
      </c>
      <c r="G201" s="8" t="inlineStr">
        <is>
          <t>N</t>
        </is>
      </c>
      <c r="H201" s="8" t="inlineStr">
        <is>
          <t>N</t>
        </is>
      </c>
      <c r="I201" s="10" t="inlineStr">
        <is>
          <t>不限</t>
        </is>
      </c>
      <c r="J201" s="8" t="inlineStr">
        <is>
          <t>已核实</t>
        </is>
      </c>
      <c r="K201" s="10" t="inlineStr">
        <is>
          <t>https://satml.org/call-for-papers</t>
        </is>
      </c>
      <c r="L201" s="10" t="inlineStr">
        <is>
          <t>IEEE 主办，安全与ML交叉，含竞赛 track；核查:摘要注册2026-09-22必填</t>
        </is>
      </c>
    </row>
  </sheetData>
  <autoFilter ref="A1:L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5" customWidth="1" min="3" max="3"/>
    <col width="17" customWidth="1" min="4" max="4"/>
    <col width="13" customWidth="1" min="5" max="5"/>
    <col width="14" customWidth="1" min="6" max="6"/>
    <col width="24" customWidth="1" min="7" max="7"/>
    <col width="34" customWidth="1" min="8" max="8"/>
    <col width="17" customWidth="1" min="9" max="9"/>
    <col width="13" customWidth="1" min="10" max="10"/>
    <col width="26" customWidth="1" min="11" max="11"/>
    <col width="24" customWidth="1" min="12" max="12"/>
    <col width="20" customWidth="1" min="13" max="13"/>
    <col width="40" customWidth="1" min="14" max="14"/>
    <col width="8" customWidth="1" min="15" max="15"/>
    <col width="30" customWidth="1" min="16" max="16"/>
  </cols>
  <sheetData>
    <row r="1" ht="36" customHeight="1">
      <c r="A1" s="1" t="inlineStr">
        <is>
          <t>序号</t>
        </is>
      </c>
      <c r="B1" s="1" t="inlineStr">
        <is>
          <t>简称</t>
        </is>
      </c>
      <c r="C1" s="1" t="inlineStr">
        <is>
          <t>CCF</t>
        </is>
      </c>
      <c r="D1" s="1" t="inlineStr">
        <is>
          <t>方向</t>
        </is>
      </c>
      <c r="E1" s="1" t="inlineStr">
        <is>
          <t>条款状态</t>
        </is>
      </c>
      <c r="F1" s="1" t="inlineStr">
        <is>
          <t>对首投的影响</t>
        </is>
      </c>
      <c r="G1" s="1" t="inlineStr">
        <is>
          <t>首投可投篇数</t>
        </is>
      </c>
      <c r="H1" s="1" t="inlineStr">
        <is>
          <t>审稿义务 / 互惠审稿</t>
        </is>
      </c>
      <c r="I1" s="1" t="inlineStr">
        <is>
          <t>首投配额</t>
        </is>
      </c>
      <c r="J1" s="1" t="inlineStr">
        <is>
          <t>资深作者要求</t>
        </is>
      </c>
      <c r="K1" s="1" t="inlineStr">
        <is>
          <t>投稿账号门槛</t>
        </is>
      </c>
      <c r="L1" s="1" t="inlineStr">
        <is>
          <t>学生 / 新人通道</t>
        </is>
      </c>
      <c r="M1" s="1" t="inlineStr">
        <is>
          <t>费用与资助</t>
        </is>
      </c>
      <c r="N1" s="1" t="inlineStr">
        <is>
          <t>依据 URL</t>
        </is>
      </c>
      <c r="O1" s="1" t="inlineStr">
        <is>
          <t>置信度</t>
        </is>
      </c>
      <c r="P1" s="1" t="inlineStr">
        <is>
          <t>备注</t>
        </is>
      </c>
    </row>
    <row r="2" ht="30" customHeight="1">
      <c r="A2" s="8" t="n">
        <v>1</v>
      </c>
      <c r="B2" s="9" t="inlineStr">
        <is>
          <t>AAAI</t>
        </is>
      </c>
      <c r="C2" s="8" t="inlineStr">
        <is>
          <t>A</t>
        </is>
      </c>
      <c r="D2" s="12" t="inlineStr">
        <is>
          <t>人工智能</t>
        </is>
      </c>
      <c r="E2" s="8" t="inlineStr">
        <is>
          <t>未找到</t>
        </is>
      </c>
      <c r="F2" s="8" t="inlineStr">
        <is>
          <t>未找到</t>
        </is>
      </c>
      <c r="G2" s="10" t="inlineStr">
        <is>
          <t>不限</t>
        </is>
      </c>
      <c r="H2" s="10" t="inlineStr">
        <is>
          <t>未找到</t>
        </is>
      </c>
      <c r="I2" s="8" t="inlineStr">
        <is>
          <t>未找到</t>
        </is>
      </c>
      <c r="J2" s="8" t="inlineStr">
        <is>
          <t>待确认</t>
        </is>
      </c>
      <c r="K2" s="10" t="inlineStr">
        <is>
          <t>未找到</t>
        </is>
      </c>
      <c r="L2" s="10" t="inlineStr">
        <is>
          <t>未找到</t>
        </is>
      </c>
      <c r="M2" s="10" t="inlineStr">
        <is>
          <t>未找到</t>
        </is>
      </c>
      <c r="N2" s="10" t="inlineStr">
        <is>
          <t>https://aaai.org/conference/aaai/aaai-27/</t>
        </is>
      </c>
      <c r="O2" s="8" t="inlineStr">
        <is>
          <t>低</t>
        </is>
      </c>
      <c r="P2" s="10" t="inlineStr">
        <is>
          <t>站点仅发布日程；作者政策页重定向至往届 AAAI-25</t>
        </is>
      </c>
    </row>
    <row r="3" ht="30" customHeight="1">
      <c r="A3" s="8" t="n">
        <v>2</v>
      </c>
      <c r="B3" s="9" t="inlineStr">
        <is>
          <t>ACL</t>
        </is>
      </c>
      <c r="C3" s="8" t="inlineStr">
        <is>
          <t>A</t>
        </is>
      </c>
      <c r="D3" s="12" t="inlineStr">
        <is>
          <t>人工智能</t>
        </is>
      </c>
      <c r="E3" s="8" t="inlineStr">
        <is>
          <t>未找到</t>
        </is>
      </c>
      <c r="F3" s="8" t="inlineStr">
        <is>
          <t>未找到</t>
        </is>
      </c>
      <c r="G3" s="10" t="inlineStr">
        <is>
          <t>不限</t>
        </is>
      </c>
      <c r="H3" s="10" t="inlineStr">
        <is>
          <t>未找到</t>
        </is>
      </c>
      <c r="I3" s="8" t="inlineStr">
        <is>
          <t>未找到</t>
        </is>
      </c>
      <c r="J3" s="8" t="inlineStr">
        <is>
          <t>待确认</t>
        </is>
      </c>
      <c r="K3" s="10" t="inlineStr">
        <is>
          <t>未找到</t>
        </is>
      </c>
      <c r="L3" s="10" t="inlineStr">
        <is>
          <t>未找到</t>
        </is>
      </c>
      <c r="M3" s="10" t="inlineStr">
        <is>
          <t>未找到</t>
        </is>
      </c>
      <c r="N3" s="10" t="inlineStr">
        <is>
          <t>https://2027.aclweb.org/calls/main/</t>
        </is>
      </c>
      <c r="O3" s="8" t="inlineStr">
        <is>
          <t>低</t>
        </is>
      </c>
      <c r="P3" s="10" t="inlineStr">
        <is>
          <t>站点仅上线主会 CFP；审稿与 SRW 政策走 ARR，未发布</t>
        </is>
      </c>
    </row>
    <row r="4" ht="30" customHeight="1">
      <c r="A4" s="8" t="n">
        <v>3</v>
      </c>
      <c r="B4" s="9" t="inlineStr">
        <is>
          <t>CVPR</t>
        </is>
      </c>
      <c r="C4" s="8" t="inlineStr">
        <is>
          <t>A</t>
        </is>
      </c>
      <c r="D4" s="12" t="inlineStr">
        <is>
          <t>人工智能</t>
        </is>
      </c>
      <c r="E4" s="8" t="inlineStr">
        <is>
          <t>有专属条款</t>
        </is>
      </c>
      <c r="F4" s="8" t="inlineStr">
        <is>
          <t>有硬性要求</t>
        </is>
      </c>
      <c r="G4" s="10" t="inlineStr">
        <is>
          <t>不限</t>
        </is>
      </c>
      <c r="H4" s="10" t="inlineStr">
        <is>
          <t>全体作者须应召担任审稿人，豁免须事前申请</t>
        </is>
      </c>
      <c r="I4" s="8" t="inlineStr">
        <is>
          <t>无</t>
        </is>
      </c>
      <c r="J4" s="8" t="inlineStr">
        <is>
          <t>不强制</t>
        </is>
      </c>
      <c r="K4" s="10" t="inlineStr">
        <is>
          <t>需 OpenReview 档案；无机构邮箱审核约 2 周</t>
        </is>
      </c>
      <c r="L4" s="10" t="inlineStr">
        <is>
          <t>无</t>
        </is>
      </c>
      <c r="M4" s="10" t="inlineStr">
        <is>
          <t>未提及</t>
        </is>
      </c>
      <c r="N4" s="10" t="inlineStr">
        <is>
          <t>https://cvpr.thecvf.com/Conferences/2027/CallForPapers</t>
        </is>
      </c>
      <c r="O4" s="8" t="inlineStr">
        <is>
          <t>高</t>
        </is>
      </c>
      <c r="P4" s="10" t="inlineStr">
        <is>
          <t>Mandatory Reviewer Service，依 PAMI 技术委员会指引</t>
        </is>
      </c>
    </row>
    <row r="5" ht="30" customHeight="1">
      <c r="A5" s="8" t="n">
        <v>4</v>
      </c>
      <c r="B5" s="9" t="inlineStr">
        <is>
          <t>ICCV</t>
        </is>
      </c>
      <c r="C5" s="8" t="inlineStr">
        <is>
          <t>A</t>
        </is>
      </c>
      <c r="D5" s="12" t="inlineStr">
        <is>
          <t>人工智能</t>
        </is>
      </c>
      <c r="E5" s="8" t="inlineStr">
        <is>
          <t>CFP未发布</t>
        </is>
      </c>
      <c r="F5" s="8" t="inlineStr">
        <is>
          <t>CFP未发布</t>
        </is>
      </c>
      <c r="G5" s="10" t="inlineStr">
        <is>
          <t>CFP未发布</t>
        </is>
      </c>
      <c r="H5" s="10" t="inlineStr">
        <is>
          <t>CFP未发布</t>
        </is>
      </c>
      <c r="I5" s="8" t="inlineStr">
        <is>
          <t>CFP未发布</t>
        </is>
      </c>
      <c r="J5" s="8" t="inlineStr">
        <is>
          <t>CFP未发布</t>
        </is>
      </c>
      <c r="K5" s="10" t="inlineStr">
        <is>
          <t>CFP未发布</t>
        </is>
      </c>
      <c r="L5" s="10" t="inlineStr">
        <is>
          <t>CFP未发布</t>
        </is>
      </c>
      <c r="M5" s="10" t="inlineStr">
        <is>
          <t>CFP未发布</t>
        </is>
      </c>
      <c r="N5" s="10" t="inlineStr">
        <is>
          <t>—</t>
        </is>
      </c>
      <c r="O5" s="8" t="inlineStr">
        <is>
          <t>高</t>
        </is>
      </c>
      <c r="P5" s="10" t="inlineStr"/>
    </row>
    <row r="6" ht="30" customHeight="1">
      <c r="A6" s="8" t="n">
        <v>5</v>
      </c>
      <c r="B6" s="9" t="inlineStr">
        <is>
          <t>ICLR</t>
        </is>
      </c>
      <c r="C6" s="8" t="inlineStr">
        <is>
          <t>A</t>
        </is>
      </c>
      <c r="D6" s="12" t="inlineStr">
        <is>
          <t>人工智能</t>
        </is>
      </c>
      <c r="E6" s="8" t="inlineStr">
        <is>
          <t>有专属条款</t>
        </is>
      </c>
      <c r="F6" s="8" t="inlineStr">
        <is>
          <t>有硬性要求</t>
        </is>
      </c>
      <c r="G6" s="10" t="inlineStr">
        <is>
          <t>1 篇（无合格互惠审稿人时）；全体上限 20 篇/届</t>
        </is>
      </c>
      <c r="H6" s="10" t="inlineStr">
        <is>
          <t>须指定作者注册审稿≥3 篇，否则直接拒稿</t>
        </is>
      </c>
      <c r="I6" s="8" t="inlineStr">
        <is>
          <t>1 篇（无合格互惠审稿人时）</t>
        </is>
      </c>
      <c r="J6" s="8" t="inlineStr">
        <is>
          <t>不强制</t>
        </is>
      </c>
      <c r="K6" s="10" t="inlineStr">
        <is>
          <t>须 OpenReview 档案；无机构邮箱审核约 2 周</t>
        </is>
      </c>
      <c r="L6" s="10" t="inlineStr">
        <is>
          <t>无</t>
        </is>
      </c>
      <c r="M6" s="10" t="inlineStr">
        <is>
          <t>未提及</t>
        </is>
      </c>
      <c r="N6" s="10" t="inlineStr">
        <is>
          <t>https://iclr.cc/Conferences/2027/AuthorGuidelines</t>
        </is>
      </c>
      <c r="O6" s="8" t="inlineStr">
        <is>
          <t>高</t>
        </is>
      </c>
      <c r="P6" s="10" t="inlineStr">
        <is>
          <t>单人最多 20 篇；3 篇以上作者须审 ≥6 篇</t>
        </is>
      </c>
    </row>
    <row r="7" ht="30" customHeight="1">
      <c r="A7" s="8" t="n">
        <v>6</v>
      </c>
      <c r="B7" s="9" t="inlineStr">
        <is>
          <t>ACM SIGGRAPH</t>
        </is>
      </c>
      <c r="C7" s="8" t="inlineStr">
        <is>
          <t>A</t>
        </is>
      </c>
      <c r="D7" s="12" t="inlineStr">
        <is>
          <t>图形学与多媒体</t>
        </is>
      </c>
      <c r="E7" s="8" t="inlineStr">
        <is>
          <t>CFP未发布</t>
        </is>
      </c>
      <c r="F7" s="8" t="inlineStr">
        <is>
          <t>CFP未发布</t>
        </is>
      </c>
      <c r="G7" s="10" t="inlineStr">
        <is>
          <t>CFP未发布</t>
        </is>
      </c>
      <c r="H7" s="10" t="inlineStr">
        <is>
          <t>CFP未发布</t>
        </is>
      </c>
      <c r="I7" s="8" t="inlineStr">
        <is>
          <t>CFP未发布</t>
        </is>
      </c>
      <c r="J7" s="8" t="inlineStr">
        <is>
          <t>CFP未发布</t>
        </is>
      </c>
      <c r="K7" s="10" t="inlineStr">
        <is>
          <t>CFP未发布</t>
        </is>
      </c>
      <c r="L7" s="10" t="inlineStr">
        <is>
          <t>CFP未发布</t>
        </is>
      </c>
      <c r="M7" s="10" t="inlineStr">
        <is>
          <t>CFP未发布</t>
        </is>
      </c>
      <c r="N7" s="10" t="inlineStr">
        <is>
          <t>—</t>
        </is>
      </c>
      <c r="O7" s="8" t="inlineStr">
        <is>
          <t>高</t>
        </is>
      </c>
      <c r="P7" s="10" t="inlineStr"/>
    </row>
    <row r="8" ht="30" customHeight="1">
      <c r="A8" s="8" t="n">
        <v>7</v>
      </c>
      <c r="B8" s="9" t="inlineStr">
        <is>
          <t>IEEE VR</t>
        </is>
      </c>
      <c r="C8" s="8" t="inlineStr">
        <is>
          <t>A</t>
        </is>
      </c>
      <c r="D8" s="12" t="inlineStr">
        <is>
          <t>图形学与多媒体</t>
        </is>
      </c>
      <c r="E8" s="8" t="inlineStr">
        <is>
          <t>有专属条款</t>
        </is>
      </c>
      <c r="F8" s="8" t="inlineStr">
        <is>
          <t>有硬性要求</t>
        </is>
      </c>
      <c r="G8" s="10" t="inlineStr">
        <is>
          <t>不限</t>
        </is>
      </c>
      <c r="H8" s="10" t="inlineStr">
        <is>
          <t>资深作者须注册审稿，评审数≥投稿数，失责可拒稿</t>
        </is>
      </c>
      <c r="I8" s="8" t="inlineStr">
        <is>
          <t>无</t>
        </is>
      </c>
      <c r="J8" s="8" t="inlineStr">
        <is>
          <t>不强制</t>
        </is>
      </c>
      <c r="K8" s="10" t="inlineStr">
        <is>
          <t>走 PCS 投稿；资深作者须在 PCS 注册审稿</t>
        </is>
      </c>
      <c r="L8" s="10" t="inlineStr">
        <is>
          <t>无</t>
        </is>
      </c>
      <c r="M8" s="10" t="inlineStr">
        <is>
          <t>未提及</t>
        </is>
      </c>
      <c r="N8" s="10" t="inlineStr">
        <is>
          <t>https://ieeevr.org/2027/contribute/papers</t>
        </is>
      </c>
      <c r="O8" s="8" t="inlineStr">
        <is>
          <t>高</t>
        </is>
      </c>
      <c r="P8" s="10" t="inlineStr">
        <is>
          <t>资深=有 PhD 或同等资历；无资深作者亦须指派人</t>
        </is>
      </c>
    </row>
    <row r="9" ht="30" customHeight="1">
      <c r="A9" s="8" t="n">
        <v>8</v>
      </c>
      <c r="B9" s="9" t="inlineStr">
        <is>
          <t>CAV</t>
        </is>
      </c>
      <c r="C9" s="8" t="inlineStr">
        <is>
          <t>A</t>
        </is>
      </c>
      <c r="D9" s="12" t="inlineStr">
        <is>
          <t>计算机科学理论</t>
        </is>
      </c>
      <c r="E9" s="8" t="inlineStr">
        <is>
          <t>无专属条款</t>
        </is>
      </c>
      <c r="F9" s="8" t="inlineStr">
        <is>
          <t>无</t>
        </is>
      </c>
      <c r="G9" s="10" t="inlineStr">
        <is>
          <t>5 篇/届</t>
        </is>
      </c>
      <c r="H9" s="10" t="inlineStr">
        <is>
          <t>无审稿义务</t>
        </is>
      </c>
      <c r="I9" s="8" t="inlineStr">
        <is>
          <t>无</t>
        </is>
      </c>
      <c r="J9" s="8" t="inlineStr">
        <is>
          <t>不强制</t>
        </is>
      </c>
      <c r="K9" s="10" t="inlineStr">
        <is>
          <t>无门槛</t>
        </is>
      </c>
      <c r="L9" s="10" t="inlineStr">
        <is>
          <t>无</t>
        </is>
      </c>
      <c r="M9" s="10" t="inlineStr">
        <is>
          <t>未提及</t>
        </is>
      </c>
      <c r="N9" s="10" t="inlineStr">
        <is>
          <t>https://conferences.i-cav.org/2027/cfp/</t>
        </is>
      </c>
      <c r="O9" s="8" t="inlineStr">
        <is>
          <t>中</t>
        </is>
      </c>
      <c r="P9" s="10" t="inlineStr">
        <is>
          <t>仅全体作者统一 5 篇上限，无新人专属条款</t>
        </is>
      </c>
    </row>
    <row r="10" ht="30" customHeight="1">
      <c r="A10" s="8" t="n">
        <v>9</v>
      </c>
      <c r="B10" s="9" t="inlineStr">
        <is>
          <t>LICS</t>
        </is>
      </c>
      <c r="C10" s="8" t="inlineStr">
        <is>
          <t>A</t>
        </is>
      </c>
      <c r="D10" s="12" t="inlineStr">
        <is>
          <t>计算机科学理论</t>
        </is>
      </c>
      <c r="E10" s="8" t="inlineStr">
        <is>
          <t>CFP未发布</t>
        </is>
      </c>
      <c r="F10" s="8" t="inlineStr">
        <is>
          <t>CFP未发布</t>
        </is>
      </c>
      <c r="G10" s="10" t="inlineStr">
        <is>
          <t>CFP未发布</t>
        </is>
      </c>
      <c r="H10" s="10" t="inlineStr">
        <is>
          <t>CFP未发布</t>
        </is>
      </c>
      <c r="I10" s="8" t="inlineStr">
        <is>
          <t>CFP未发布</t>
        </is>
      </c>
      <c r="J10" s="8" t="inlineStr">
        <is>
          <t>CFP未发布</t>
        </is>
      </c>
      <c r="K10" s="10" t="inlineStr">
        <is>
          <t>CFP未发布</t>
        </is>
      </c>
      <c r="L10" s="10" t="inlineStr">
        <is>
          <t>CFP未发布</t>
        </is>
      </c>
      <c r="M10" s="10" t="inlineStr">
        <is>
          <t>CFP未发布</t>
        </is>
      </c>
      <c r="N10" s="10" t="inlineStr">
        <is>
          <t>—</t>
        </is>
      </c>
      <c r="O10" s="8" t="inlineStr">
        <is>
          <t>高</t>
        </is>
      </c>
      <c r="P10" s="10" t="inlineStr"/>
    </row>
    <row r="11" ht="30" customHeight="1">
      <c r="A11" s="8" t="n">
        <v>10</v>
      </c>
      <c r="B11" s="9" t="inlineStr">
        <is>
          <t>SODA</t>
        </is>
      </c>
      <c r="C11" s="8" t="inlineStr">
        <is>
          <t>A</t>
        </is>
      </c>
      <c r="D11" s="12" t="inlineStr">
        <is>
          <t>计算机科学理论</t>
        </is>
      </c>
      <c r="E11" s="8" t="inlineStr">
        <is>
          <t>有专属条款</t>
        </is>
      </c>
      <c r="F11" s="8" t="inlineStr">
        <is>
          <t>只有利好通道</t>
        </is>
      </c>
      <c r="G11" s="10" t="inlineStr">
        <is>
          <t>不限</t>
        </is>
      </c>
      <c r="H11" s="10" t="inlineStr">
        <is>
          <t>无审稿义务</t>
        </is>
      </c>
      <c r="I11" s="8" t="inlineStr">
        <is>
          <t>无</t>
        </is>
      </c>
      <c r="J11" s="8" t="inlineStr">
        <is>
          <t>不强制</t>
        </is>
      </c>
      <c r="K11" s="10" t="inlineStr">
        <is>
          <t>无门槛</t>
        </is>
      </c>
      <c r="L11" s="10" t="inlineStr">
        <is>
          <t>最佳学生论文奖（全学生作者可评）</t>
        </is>
      </c>
      <c r="M11" s="10" t="inlineStr">
        <is>
          <t>SIAM 通用差旅资助，10/26 截止</t>
        </is>
      </c>
      <c r="N11" s="10" t="inlineStr">
        <is>
          <t>https://www.siam.org/conferences-events/siam-conferences/soda27/submissions/</t>
        </is>
      </c>
      <c r="O11" s="8" t="inlineStr">
        <is>
          <t>中</t>
        </is>
      </c>
      <c r="P11" s="10" t="inlineStr">
        <is>
          <t>无页数限制；学生相关活动见 Special Events 页</t>
        </is>
      </c>
    </row>
    <row r="12" ht="30" customHeight="1">
      <c r="A12" s="8" t="n">
        <v>11</v>
      </c>
      <c r="B12" s="9" t="inlineStr">
        <is>
          <t>STOC</t>
        </is>
      </c>
      <c r="C12" s="8" t="inlineStr">
        <is>
          <t>A</t>
        </is>
      </c>
      <c r="D12" s="12" t="inlineStr">
        <is>
          <t>计算机科学理论</t>
        </is>
      </c>
      <c r="E12" s="8" t="inlineStr">
        <is>
          <t>有专属条款</t>
        </is>
      </c>
      <c r="F12" s="8" t="inlineStr">
        <is>
          <t>有硬性要求</t>
        </is>
      </c>
      <c r="G12" s="10" t="inlineStr">
        <is>
          <t>5 篇/届</t>
        </is>
      </c>
      <c r="H12" s="10" t="inlineStr">
        <is>
          <t>无审稿义务</t>
        </is>
      </c>
      <c r="I12" s="8" t="inlineStr">
        <is>
          <t>5 篇（每位作者各自计，适用于所有作者）</t>
        </is>
      </c>
      <c r="J12" s="8" t="inlineStr">
        <is>
          <t>不强制</t>
        </is>
      </c>
      <c r="K12" s="10" t="inlineStr">
        <is>
          <t>录用后须 ORCID ID</t>
        </is>
      </c>
      <c r="L12" s="10" t="inlineStr">
        <is>
          <t>最佳学生论文奖（Danny Lewin）</t>
        </is>
      </c>
      <c r="M12" s="10" t="inlineStr">
        <is>
          <t>SIGACT 学生及发展中国家差旅资助</t>
        </is>
      </c>
      <c r="N12" s="10" t="inlineStr">
        <is>
          <t>https://acm-stoc.org/stoc2027/stoc2027-cfp.html</t>
        </is>
      </c>
      <c r="O12" s="8" t="inlineStr">
        <is>
          <t>高</t>
        </is>
      </c>
      <c r="P12" s="10" t="inlineStr">
        <is>
          <t>非匿名评审；作者须为人类</t>
        </is>
      </c>
    </row>
    <row r="13" ht="30" customHeight="1">
      <c r="A13" s="8" t="n">
        <v>12</v>
      </c>
      <c r="B13" s="9" t="inlineStr">
        <is>
          <t>ICDE</t>
        </is>
      </c>
      <c r="C13" s="8" t="inlineStr">
        <is>
          <t>A</t>
        </is>
      </c>
      <c r="D13" s="12" t="inlineStr">
        <is>
          <t>数据库/数据挖掘</t>
        </is>
      </c>
      <c r="E13" s="8" t="inlineStr">
        <is>
          <t>有专属条款</t>
        </is>
      </c>
      <c r="F13" s="8" t="inlineStr">
        <is>
          <t>有硬性要求</t>
        </is>
      </c>
      <c r="G13" s="10" t="inlineStr">
        <is>
          <t>5 篇（每轮，研究轨道）</t>
        </is>
      </c>
      <c r="H13" s="10" t="inlineStr">
        <is>
          <t>无审稿义务</t>
        </is>
      </c>
      <c r="I13" s="8" t="inlineStr">
        <is>
          <t>5 篇（每轮，研究轨道）</t>
        </is>
      </c>
      <c r="J13" s="8" t="inlineStr">
        <is>
          <t>不强制</t>
        </is>
      </c>
      <c r="K13" s="10" t="inlineStr">
        <is>
          <t>全体作者须 ORCID 及 CMT 档案，缺则拒稿</t>
        </is>
      </c>
      <c r="L13" s="10" t="inlineStr">
        <is>
          <t>Ph.D. Symposium</t>
        </is>
      </c>
      <c r="M13" s="10" t="inlineStr">
        <is>
          <t>未提及</t>
        </is>
      </c>
      <c r="N13" s="10" t="inlineStr">
        <is>
          <t>https://icde2027.github.io/submission-guidelines.html</t>
        </is>
      </c>
      <c r="O13" s="8" t="inlineStr">
        <is>
          <t>高</t>
        </is>
      </c>
      <c r="P13" s="10" t="inlineStr">
        <is>
          <t>两轮投稿，每轮只给接受/拒绝，无修订</t>
        </is>
      </c>
    </row>
    <row r="14" ht="30" customHeight="1">
      <c r="A14" s="8" t="n">
        <v>13</v>
      </c>
      <c r="B14" s="9" t="inlineStr">
        <is>
          <t>SIGIR</t>
        </is>
      </c>
      <c r="C14" s="8" t="inlineStr">
        <is>
          <t>A</t>
        </is>
      </c>
      <c r="D14" s="12" t="inlineStr">
        <is>
          <t>数据库/数据挖掘</t>
        </is>
      </c>
      <c r="E14" s="8" t="inlineStr">
        <is>
          <t>有专属条款</t>
        </is>
      </c>
      <c r="F14" s="8" t="inlineStr">
        <is>
          <t>只有利好通道</t>
        </is>
      </c>
      <c r="G14" s="10" t="inlineStr">
        <is>
          <t>不限</t>
        </is>
      </c>
      <c r="H14" s="10" t="inlineStr">
        <is>
          <t>未找到</t>
        </is>
      </c>
      <c r="I14" s="8" t="inlineStr">
        <is>
          <t>未找到</t>
        </is>
      </c>
      <c r="J14" s="8" t="inlineStr">
        <is>
          <t>待确认</t>
        </is>
      </c>
      <c r="K14" s="10" t="inlineStr">
        <is>
          <t>未找到</t>
        </is>
      </c>
      <c r="L14" s="10" t="inlineStr">
        <is>
          <t>Doctoral Consortium</t>
        </is>
      </c>
      <c r="M14" s="10" t="inlineStr">
        <is>
          <t>学生及研究者 travel grants（50 周年）</t>
        </is>
      </c>
      <c r="N14" s="10" t="inlineStr">
        <is>
          <t>https://sigir2027.org/</t>
        </is>
      </c>
      <c r="O14" s="8" t="inlineStr">
        <is>
          <t>中</t>
        </is>
      </c>
      <c r="P14" s="10" t="inlineStr">
        <is>
          <t>论文 CFP 与审稿政策尚未上线，仅首页零散信息</t>
        </is>
      </c>
    </row>
    <row r="15" ht="30" customHeight="1">
      <c r="A15" s="8" t="n">
        <v>14</v>
      </c>
      <c r="B15" s="9" t="inlineStr">
        <is>
          <t>SIGKDD</t>
        </is>
      </c>
      <c r="C15" s="8" t="inlineStr">
        <is>
          <t>A</t>
        </is>
      </c>
      <c r="D15" s="12" t="inlineStr">
        <is>
          <t>数据库/数据挖掘</t>
        </is>
      </c>
      <c r="E15" s="8" t="inlineStr">
        <is>
          <t>有专属条款</t>
        </is>
      </c>
      <c r="F15" s="8" t="inlineStr">
        <is>
          <t>有硬性要求</t>
        </is>
      </c>
      <c r="G15" s="10" t="inlineStr">
        <is>
          <t>7 篇/届</t>
        </is>
      </c>
      <c r="H15" s="10" t="inlineStr">
        <is>
          <t>须提名 1 名合格审稿人（KDD 等≥3 篇）</t>
        </is>
      </c>
      <c r="I15" s="8" t="inlineStr">
        <is>
          <t>7 篇（研究轨道，每周期）</t>
        </is>
      </c>
      <c r="J15" s="8" t="inlineStr">
        <is>
          <t>不强制</t>
        </is>
      </c>
      <c r="K15" s="10" t="inlineStr">
        <is>
          <t>全体作者须完整 OpenReview 档案，缺则拒稿</t>
        </is>
      </c>
      <c r="L15" s="10" t="inlineStr">
        <is>
          <t>无</t>
        </is>
      </c>
      <c r="M15" s="10" t="inlineStr">
        <is>
          <t>未提及；注册须标准（非学生）价</t>
        </is>
      </c>
      <c r="N15" s="10" t="inlineStr">
        <is>
          <t>https://kdd2027.kdd.org/research-track-call-for-papers/</t>
        </is>
      </c>
      <c r="O15" s="8" t="inlineStr">
        <is>
          <t>高</t>
        </is>
      </c>
      <c r="P15" s="10" t="inlineStr">
        <is>
          <t>档案须含机构、DBLP、ORCID、导师与论文</t>
        </is>
      </c>
    </row>
    <row r="16" ht="30" customHeight="1">
      <c r="A16" s="8" t="n">
        <v>15</v>
      </c>
      <c r="B16" s="9" t="inlineStr">
        <is>
          <t>SIGMOD</t>
        </is>
      </c>
      <c r="C16" s="8" t="inlineStr">
        <is>
          <t>A</t>
        </is>
      </c>
      <c r="D16" s="12" t="inlineStr">
        <is>
          <t>数据库/数据挖掘</t>
        </is>
      </c>
      <c r="E16" s="8" t="inlineStr">
        <is>
          <t>未找到</t>
        </is>
      </c>
      <c r="F16" s="8" t="inlineStr">
        <is>
          <t>未找到</t>
        </is>
      </c>
      <c r="G16" s="10" t="inlineStr">
        <is>
          <t>10 篇/届</t>
        </is>
      </c>
      <c r="H16" s="10" t="inlineStr">
        <is>
          <t>未找到</t>
        </is>
      </c>
      <c r="I16" s="8" t="inlineStr">
        <is>
          <t>未找到</t>
        </is>
      </c>
      <c r="J16" s="8" t="inlineStr">
        <is>
          <t>待确认</t>
        </is>
      </c>
      <c r="K16" s="10" t="inlineStr">
        <is>
          <t>未找到</t>
        </is>
      </c>
      <c r="L16" s="10" t="inlineStr">
        <is>
          <t>未找到</t>
        </is>
      </c>
      <c r="M16" s="10" t="inlineStr">
        <is>
          <t>未找到</t>
        </is>
      </c>
      <c r="N16" s="10" t="inlineStr">
        <is>
          <t>https://2027.sigmod.org/calls_papers_important_dates.shtml</t>
        </is>
      </c>
      <c r="O16" s="8" t="inlineStr">
        <is>
          <t>低</t>
        </is>
      </c>
      <c r="P16" s="10" t="inlineStr">
        <is>
          <t>仅有日程页；calls_papers 征稿政策页返回 404</t>
        </is>
      </c>
    </row>
    <row r="17" ht="30" customHeight="1">
      <c r="A17" s="8" t="n">
        <v>16</v>
      </c>
      <c r="B17" s="9" t="inlineStr">
        <is>
          <t>VLDB</t>
        </is>
      </c>
      <c r="C17" s="8" t="inlineStr">
        <is>
          <t>A</t>
        </is>
      </c>
      <c r="D17" s="12" t="inlineStr">
        <is>
          <t>数据库/数据挖掘</t>
        </is>
      </c>
      <c r="E17" s="8" t="inlineStr">
        <is>
          <t>有专属条款</t>
        </is>
      </c>
      <c r="F17" s="8" t="inlineStr">
        <is>
          <t>有硬性要求</t>
        </is>
      </c>
      <c r="G17" s="10" t="inlineStr">
        <is>
          <t>12 篇/年（每月≤2）</t>
        </is>
      </c>
      <c r="H17" s="10" t="inlineStr">
        <is>
          <t>须提名 1 名合格审稿人（VLDB 等≥2 篇）</t>
        </is>
      </c>
      <c r="I17" s="8" t="inlineStr">
        <is>
          <t>每月 2 篇，全年 12 篇</t>
        </is>
      </c>
      <c r="J17" s="8" t="inlineStr">
        <is>
          <t>不强制</t>
        </is>
      </c>
      <c r="K17" s="10" t="inlineStr">
        <is>
          <t>全体作者须 CMT 注册并申报冲突，否则拒稿</t>
        </is>
      </c>
      <c r="L17" s="10" t="inlineStr">
        <is>
          <t>无</t>
        </is>
      </c>
      <c r="M17" s="10" t="inlineStr">
        <is>
          <t>未提及</t>
        </is>
      </c>
      <c r="N17" s="10" t="inlineStr">
        <is>
          <t>https://vldb.org/pvldb/volumes/20/submission</t>
        </is>
      </c>
      <c r="O17" s="8" t="inlineStr">
        <is>
          <t>高</t>
        </is>
      </c>
      <c r="P17" s="10" t="inlineStr">
        <is>
          <t>提名审稿人失责，全体作者年上限各减 1 篇</t>
        </is>
      </c>
    </row>
    <row r="18" ht="30" customHeight="1">
      <c r="A18" s="8" t="n">
        <v>17</v>
      </c>
      <c r="B18" s="9" t="inlineStr">
        <is>
          <t>ASPLOS</t>
        </is>
      </c>
      <c r="C18" s="8" t="inlineStr">
        <is>
          <t>A</t>
        </is>
      </c>
      <c r="D18" s="12" t="inlineStr">
        <is>
          <t>体系结构/并行/存储</t>
        </is>
      </c>
      <c r="E18" s="8" t="inlineStr">
        <is>
          <t>无专属条款</t>
        </is>
      </c>
      <c r="F18" s="8" t="inlineStr">
        <is>
          <t>无</t>
        </is>
      </c>
      <c r="G18" s="10" t="inlineStr">
        <is>
          <t>4 篇/届</t>
        </is>
      </c>
      <c r="H18" s="10" t="inlineStr">
        <is>
          <t>无审稿义务</t>
        </is>
      </c>
      <c r="I18" s="8" t="inlineStr">
        <is>
          <t>无</t>
        </is>
      </c>
      <c r="J18" s="8" t="inlineStr">
        <is>
          <t>不强制</t>
        </is>
      </c>
      <c r="K18" s="10" t="inlineStr">
        <is>
          <t>无门槛</t>
        </is>
      </c>
      <c r="L18" s="10" t="inlineStr">
        <is>
          <t>无</t>
        </is>
      </c>
      <c r="M18" s="10" t="inlineStr">
        <is>
          <t>未提及</t>
        </is>
      </c>
      <c r="N18" s="10" t="inlineStr">
        <is>
          <t>https://www.asplos-conference.org/asplos2027/cfp/</t>
        </is>
      </c>
      <c r="O18" s="8" t="inlineStr">
        <is>
          <t>高</t>
        </is>
      </c>
      <c r="P18" s="10" t="inlineStr">
        <is>
          <t>CFP全文无A-F条款；仅全局限每人每周期4篇</t>
        </is>
      </c>
    </row>
    <row r="19" ht="30" customHeight="1">
      <c r="A19" s="8" t="n">
        <v>18</v>
      </c>
      <c r="B19" s="9" t="inlineStr">
        <is>
          <t>DAC</t>
        </is>
      </c>
      <c r="C19" s="8" t="inlineStr">
        <is>
          <t>A</t>
        </is>
      </c>
      <c r="D19" s="12" t="inlineStr">
        <is>
          <t>体系结构/并行/存储</t>
        </is>
      </c>
      <c r="E19" s="8" t="inlineStr">
        <is>
          <t>无专属条款</t>
        </is>
      </c>
      <c r="F19" s="8" t="inlineStr">
        <is>
          <t>无</t>
        </is>
      </c>
      <c r="G19" s="10" t="inlineStr">
        <is>
          <t>不限</t>
        </is>
      </c>
      <c r="H19" s="10" t="inlineStr">
        <is>
          <t>无审稿义务</t>
        </is>
      </c>
      <c r="I19" s="8" t="inlineStr">
        <is>
          <t>无</t>
        </is>
      </c>
      <c r="J19" s="8" t="inlineStr">
        <is>
          <t>不强制</t>
        </is>
      </c>
      <c r="K19" s="10" t="inlineStr">
        <is>
          <t>无门槛</t>
        </is>
      </c>
      <c r="L19" s="10" t="inlineStr">
        <is>
          <t>无</t>
        </is>
      </c>
      <c r="M19" s="10" t="inlineStr">
        <is>
          <t>未提及</t>
        </is>
      </c>
      <c r="N19" s="10" t="inlineStr">
        <is>
          <t>https://dac.com/2027/authors/call-for-contributions</t>
        </is>
      </c>
      <c r="O19" s="8" t="inlineStr">
        <is>
          <t>中</t>
        </is>
      </c>
      <c r="P19" s="10" t="inlineStr">
        <is>
          <t>Tracks页与研究稿页均无新人/学生及审稿义务条款</t>
        </is>
      </c>
    </row>
    <row r="20" ht="30" customHeight="1">
      <c r="A20" s="8" t="n">
        <v>19</v>
      </c>
      <c r="B20" s="9" t="inlineStr">
        <is>
          <t>EuroSys</t>
        </is>
      </c>
      <c r="C20" s="8" t="inlineStr">
        <is>
          <t>A</t>
        </is>
      </c>
      <c r="D20" s="12" t="inlineStr">
        <is>
          <t>体系结构/并行/存储</t>
        </is>
      </c>
      <c r="E20" s="8" t="inlineStr">
        <is>
          <t>无专属条款</t>
        </is>
      </c>
      <c r="F20" s="8" t="inlineStr">
        <is>
          <t>无</t>
        </is>
      </c>
      <c r="G20" s="10" t="inlineStr">
        <is>
          <t>3 篇/届</t>
        </is>
      </c>
      <c r="H20" s="10" t="inlineStr">
        <is>
          <t>无审稿义务</t>
        </is>
      </c>
      <c r="I20" s="8" t="inlineStr">
        <is>
          <t>无</t>
        </is>
      </c>
      <c r="J20" s="8" t="inlineStr">
        <is>
          <t>不强制</t>
        </is>
      </c>
      <c r="K20" s="10" t="inlineStr">
        <is>
          <t>无门槛</t>
        </is>
      </c>
      <c r="L20" s="10" t="inlineStr">
        <is>
          <t>无</t>
        </is>
      </c>
      <c r="M20" s="10" t="inlineStr">
        <is>
          <t>未提及</t>
        </is>
      </c>
      <c r="N20" s="10" t="inlineStr">
        <is>
          <t>https://2027.eurosys.org/cfp.html</t>
        </is>
      </c>
      <c r="O20" s="8" t="inlineStr">
        <is>
          <t>高</t>
        </is>
      </c>
      <c r="P20" s="10" t="inlineStr">
        <is>
          <t>CFP无A-F条款；仅全局限每人每周期3篇</t>
        </is>
      </c>
    </row>
    <row r="21" ht="30" customHeight="1">
      <c r="A21" s="8" t="n">
        <v>20</v>
      </c>
      <c r="B21" s="9" t="inlineStr">
        <is>
          <t>FAST</t>
        </is>
      </c>
      <c r="C21" s="8" t="inlineStr">
        <is>
          <t>A</t>
        </is>
      </c>
      <c r="D21" s="12" t="inlineStr">
        <is>
          <t>体系结构/并行/存储</t>
        </is>
      </c>
      <c r="E21" s="8" t="inlineStr">
        <is>
          <t>有专属条款</t>
        </is>
      </c>
      <c r="F21" s="8" t="inlineStr">
        <is>
          <t>只有利好通道</t>
        </is>
      </c>
      <c r="G21" s="10" t="inlineStr">
        <is>
          <t>不限</t>
        </is>
      </c>
      <c r="H21" s="10" t="inlineStr">
        <is>
          <t>无审稿义务</t>
        </is>
      </c>
      <c r="I21" s="8" t="inlineStr">
        <is>
          <t>无</t>
        </is>
      </c>
      <c r="J21" s="8" t="inlineStr">
        <is>
          <t>不强制</t>
        </is>
      </c>
      <c r="K21" s="10" t="inlineStr">
        <is>
          <t>无门槛</t>
        </is>
      </c>
      <c r="L21" s="10" t="inlineStr">
        <is>
          <t>WIP/Posters、Mentoring（均设联合主席）</t>
        </is>
      </c>
      <c r="M21" s="10" t="inlineStr">
        <is>
          <t>每篇须一名作者全价注册（非学生价）</t>
        </is>
      </c>
      <c r="N21" s="10" t="inlineStr">
        <is>
          <t>https://www.usenix.org/conference/fast27/call-for-papers</t>
        </is>
      </c>
      <c r="O21" s="8" t="inlineStr">
        <is>
          <t>中</t>
        </is>
      </c>
      <c r="P21" s="10" t="inlineStr">
        <is>
          <t>无学生注册优惠；经济困难可邮件申请</t>
        </is>
      </c>
    </row>
    <row r="22" ht="30" customHeight="1">
      <c r="A22" s="8" t="n">
        <v>21</v>
      </c>
      <c r="B22" s="9" t="inlineStr">
        <is>
          <t>HPCA</t>
        </is>
      </c>
      <c r="C22" s="8" t="inlineStr">
        <is>
          <t>A</t>
        </is>
      </c>
      <c r="D22" s="12" t="inlineStr">
        <is>
          <t>体系结构/并行/存储</t>
        </is>
      </c>
      <c r="E22" s="8" t="inlineStr">
        <is>
          <t>有专属条款</t>
        </is>
      </c>
      <c r="F22" s="8" t="inlineStr">
        <is>
          <t>有硬性要求</t>
        </is>
      </c>
      <c r="G22" s="10" t="inlineStr">
        <is>
          <t>不限</t>
        </is>
      </c>
      <c r="H22" s="10" t="inlineStr">
        <is>
          <t>每篇须指定资深作者，或须任Light PC审稿≤6篇</t>
        </is>
      </c>
      <c r="I22" s="8" t="inlineStr">
        <is>
          <t>无</t>
        </is>
      </c>
      <c r="J22" s="8" t="inlineStr">
        <is>
          <t>必须挂资深作者</t>
        </is>
      </c>
      <c r="K22" s="10" t="inlineStr">
        <is>
          <t>无门槛</t>
        </is>
      </c>
      <c r="L22" s="10" t="inlineStr">
        <is>
          <t>无</t>
        </is>
      </c>
      <c r="M22" s="10" t="inlineStr">
        <is>
          <t>未提及</t>
        </is>
      </c>
      <c r="N22" s="10" t="inlineStr">
        <is>
          <t>https://sigarch.org/call-contributions/hpca-2027</t>
        </is>
      </c>
      <c r="O22" s="8" t="inlineStr">
        <is>
          <t>高</t>
        </is>
      </c>
      <c r="P22" s="10" t="inlineStr">
        <is>
          <t>无资深作者将无人可被派审稿，属硬门槛</t>
        </is>
      </c>
    </row>
    <row r="23" ht="30" customHeight="1">
      <c r="A23" s="8" t="n">
        <v>22</v>
      </c>
      <c r="B23" s="9" t="inlineStr">
        <is>
          <t>ISCA</t>
        </is>
      </c>
      <c r="C23" s="8" t="inlineStr">
        <is>
          <t>A</t>
        </is>
      </c>
      <c r="D23" s="12" t="inlineStr">
        <is>
          <t>体系结构/并行/存储</t>
        </is>
      </c>
      <c r="E23" s="8" t="inlineStr">
        <is>
          <t>有专属条款</t>
        </is>
      </c>
      <c r="F23" s="8" t="inlineStr">
        <is>
          <t>有硬性要求</t>
        </is>
      </c>
      <c r="G23" s="10" t="inlineStr">
        <is>
          <t>8 篇/届</t>
        </is>
      </c>
      <c r="H23" s="10" t="inlineStr">
        <is>
          <t>须指定资深作者任reserve reviewer；投超6篇须任PC</t>
        </is>
      </c>
      <c r="I23" s="8" t="inlineStr">
        <is>
          <t>无</t>
        </is>
      </c>
      <c r="J23" s="8" t="inlineStr">
        <is>
          <t>不强制</t>
        </is>
      </c>
      <c r="K23" s="10" t="inlineStr">
        <is>
          <t>无门槛</t>
        </is>
      </c>
      <c r="L23" s="10" t="inlineStr">
        <is>
          <t>无</t>
        </is>
      </c>
      <c r="M23" s="10" t="inlineStr">
        <is>
          <t>未提及</t>
        </is>
      </c>
      <c r="N23" s="10" t="inlineStr">
        <is>
          <t>https://iscaconf.org/isca2027/submit/callforpapers.php</t>
        </is>
      </c>
      <c r="O23" s="8" t="inlineStr">
        <is>
          <t>高</t>
        </is>
      </c>
      <c r="P23" s="10" t="inlineStr">
        <is>
          <t>无资深作者的论文可豁免互惠审稿；全局限8篇</t>
        </is>
      </c>
    </row>
    <row r="24" ht="30" customHeight="1">
      <c r="A24" s="8" t="n">
        <v>23</v>
      </c>
      <c r="B24" s="9" t="inlineStr">
        <is>
          <t>PPoPP</t>
        </is>
      </c>
      <c r="C24" s="8" t="inlineStr">
        <is>
          <t>A</t>
        </is>
      </c>
      <c r="D24" s="12" t="inlineStr">
        <is>
          <t>体系结构/并行/存储</t>
        </is>
      </c>
      <c r="E24" s="8" t="inlineStr">
        <is>
          <t>无专属条款</t>
        </is>
      </c>
      <c r="F24" s="8" t="inlineStr">
        <is>
          <t>无</t>
        </is>
      </c>
      <c r="G24" s="10" t="inlineStr">
        <is>
          <t>不限</t>
        </is>
      </c>
      <c r="H24" s="10" t="inlineStr">
        <is>
          <t>无审稿义务</t>
        </is>
      </c>
      <c r="I24" s="8" t="inlineStr">
        <is>
          <t>无</t>
        </is>
      </c>
      <c r="J24" s="8" t="inlineStr">
        <is>
          <t>不强制</t>
        </is>
      </c>
      <c r="K24" s="10" t="inlineStr">
        <is>
          <t>无门槛</t>
        </is>
      </c>
      <c r="L24" s="10" t="inlineStr">
        <is>
          <t>无</t>
        </is>
      </c>
      <c r="M24" s="10" t="inlineStr">
        <is>
          <t>未提及</t>
        </is>
      </c>
      <c r="N24" s="10" t="inlineStr">
        <is>
          <t>https://ppopp27.sigplan.org/track/PPoPP-2027-papers</t>
        </is>
      </c>
      <c r="O24" s="8" t="inlineStr">
        <is>
          <t>高</t>
        </is>
      </c>
      <c r="P24" s="10" t="inlineStr">
        <is>
          <t>仅未录用稿自动转poster，非新人通道</t>
        </is>
      </c>
    </row>
    <row r="25" ht="30" customHeight="1">
      <c r="A25" s="8" t="n">
        <v>24</v>
      </c>
      <c r="B25" s="9" t="inlineStr">
        <is>
          <t>CHI</t>
        </is>
      </c>
      <c r="C25" s="8" t="inlineStr">
        <is>
          <t>A</t>
        </is>
      </c>
      <c r="D25" s="12" t="inlineStr">
        <is>
          <t>人机交互与普适计算</t>
        </is>
      </c>
      <c r="E25" s="8" t="inlineStr">
        <is>
          <t>有专属条款</t>
        </is>
      </c>
      <c r="F25" s="8" t="inlineStr">
        <is>
          <t>有硬性要求</t>
        </is>
      </c>
      <c r="G25" s="10" t="inlineStr">
        <is>
          <t>不限</t>
        </is>
      </c>
      <c r="H25" s="10" t="inlineStr">
        <is>
          <t>每篇须提名4人次审稿（RRP），须满足最低审稿资格</t>
        </is>
      </c>
      <c r="I25" s="8" t="inlineStr">
        <is>
          <t>无</t>
        </is>
      </c>
      <c r="J25" s="8" t="inlineStr">
        <is>
          <t>不强制</t>
        </is>
      </c>
      <c r="K25" s="10" t="inlineStr">
        <is>
          <t>须ORCID，PCS档案填DBLP，邮箱有效</t>
        </is>
      </c>
      <c r="L25" s="10" t="inlineStr">
        <is>
          <t>无</t>
        </is>
      </c>
      <c r="M25" s="10" t="inlineStr">
        <is>
          <t>未提及</t>
        </is>
      </c>
      <c r="N25" s="10" t="inlineStr">
        <is>
          <t>https://chi2027.acm.org/authors/papers/</t>
        </is>
      </c>
      <c r="O25" s="8" t="inlineStr">
        <is>
          <t>高</t>
        </is>
      </c>
      <c r="P25" s="10" t="inlineStr">
        <is>
          <t>未达审稿资格者须靠资深合作者凑4份；作者名单冻结</t>
        </is>
      </c>
    </row>
    <row r="26" ht="30" customHeight="1">
      <c r="A26" s="8" t="n">
        <v>25</v>
      </c>
      <c r="B26" s="9" t="inlineStr">
        <is>
          <t>UbiComp/ISWC</t>
        </is>
      </c>
      <c r="C26" s="8" t="inlineStr">
        <is>
          <t>A</t>
        </is>
      </c>
      <c r="D26" s="12" t="inlineStr">
        <is>
          <t>人机交互与普适计算</t>
        </is>
      </c>
      <c r="E26" s="8" t="inlineStr">
        <is>
          <t>CFP未发布</t>
        </is>
      </c>
      <c r="F26" s="8" t="inlineStr">
        <is>
          <t>CFP未发布</t>
        </is>
      </c>
      <c r="G26" s="10" t="inlineStr">
        <is>
          <t>CFP未发布</t>
        </is>
      </c>
      <c r="H26" s="10" t="inlineStr">
        <is>
          <t>CFP未发布</t>
        </is>
      </c>
      <c r="I26" s="8" t="inlineStr">
        <is>
          <t>CFP未发布</t>
        </is>
      </c>
      <c r="J26" s="8" t="inlineStr">
        <is>
          <t>CFP未发布</t>
        </is>
      </c>
      <c r="K26" s="10" t="inlineStr">
        <is>
          <t>CFP未发布</t>
        </is>
      </c>
      <c r="L26" s="10" t="inlineStr">
        <is>
          <t>CFP未发布</t>
        </is>
      </c>
      <c r="M26" s="10" t="inlineStr">
        <is>
          <t>CFP未发布</t>
        </is>
      </c>
      <c r="N26" s="10" t="inlineStr">
        <is>
          <t>—</t>
        </is>
      </c>
      <c r="O26" s="8" t="inlineStr">
        <is>
          <t>高</t>
        </is>
      </c>
      <c r="P26" s="10" t="inlineStr"/>
    </row>
    <row r="27" ht="30" customHeight="1">
      <c r="A27" s="8" t="n">
        <v>26</v>
      </c>
      <c r="B27" s="9" t="inlineStr">
        <is>
          <t>WWW</t>
        </is>
      </c>
      <c r="C27" s="8" t="inlineStr">
        <is>
          <t>A</t>
        </is>
      </c>
      <c r="D27" s="12" t="inlineStr">
        <is>
          <t>交叉/综合/新兴</t>
        </is>
      </c>
      <c r="E27" s="8" t="inlineStr">
        <is>
          <t>有专属条款</t>
        </is>
      </c>
      <c r="F27" s="8" t="inlineStr">
        <is>
          <t>有硬性要求</t>
        </is>
      </c>
      <c r="G27" s="10" t="inlineStr">
        <is>
          <t>7 篇/届</t>
        </is>
      </c>
      <c r="H27" s="10" t="inlineStr">
        <is>
          <t>作者须加入审稿委员会并按时审稿，否则可被拒</t>
        </is>
      </c>
      <c r="I27" s="8" t="inlineStr">
        <is>
          <t>无</t>
        </is>
      </c>
      <c r="J27" s="8" t="inlineStr">
        <is>
          <t>不强制</t>
        </is>
      </c>
      <c r="K27" s="10" t="inlineStr">
        <is>
          <t>所有作者须完善OpenReview档案与COI</t>
        </is>
      </c>
      <c r="L27" s="10" t="inlineStr">
        <is>
          <t>无</t>
        </is>
      </c>
      <c r="M27" s="10" t="inlineStr">
        <is>
          <t>论文须非学生标准现场注册，每篇一次</t>
        </is>
      </c>
      <c r="N27" s="10" t="inlineStr">
        <is>
          <t>https://www2027.thewebconf.org/research-track-papers/</t>
        </is>
      </c>
      <c r="O27" s="8" t="inlineStr">
        <is>
          <t>高</t>
        </is>
      </c>
      <c r="P27" s="10" t="inlineStr">
        <is>
          <t>全局限每类投稿7篇；学生价不能覆盖论文</t>
        </is>
      </c>
    </row>
    <row r="28" ht="30" customHeight="1">
      <c r="A28" s="8" t="n">
        <v>27</v>
      </c>
      <c r="B28" s="9" t="inlineStr">
        <is>
          <t>INFOCOM</t>
        </is>
      </c>
      <c r="C28" s="8" t="inlineStr">
        <is>
          <t>A</t>
        </is>
      </c>
      <c r="D28" s="12" t="inlineStr">
        <is>
          <t>计算机网络</t>
        </is>
      </c>
      <c r="E28" s="8" t="inlineStr">
        <is>
          <t>未找到</t>
        </is>
      </c>
      <c r="F28" s="8" t="inlineStr">
        <is>
          <t>未找到</t>
        </is>
      </c>
      <c r="G28" s="10" t="inlineStr">
        <is>
          <t>不限</t>
        </is>
      </c>
      <c r="H28" s="10" t="inlineStr">
        <is>
          <t>未找到</t>
        </is>
      </c>
      <c r="I28" s="8" t="inlineStr">
        <is>
          <t>无</t>
        </is>
      </c>
      <c r="J28" s="8" t="inlineStr">
        <is>
          <t>待确认</t>
        </is>
      </c>
      <c r="K28" s="10" t="inlineStr">
        <is>
          <t>未找到</t>
        </is>
      </c>
      <c r="L28" s="10" t="inlineStr">
        <is>
          <t>未找到</t>
        </is>
      </c>
      <c r="M28" s="10" t="inlineStr">
        <is>
          <t>未提及</t>
        </is>
      </c>
      <c r="N28" s="10" t="inlineStr">
        <is>
          <t>https://infocom2027.ieee-infocom.org/authors</t>
        </is>
      </c>
      <c r="O28" s="8" t="inlineStr">
        <is>
          <t>低</t>
        </is>
      </c>
      <c r="P28" s="10" t="inlineStr">
        <is>
          <t>Authors页仅列日期，CFP称细则另发，未见审稿/配额条款</t>
        </is>
      </c>
    </row>
    <row r="29" ht="30" customHeight="1">
      <c r="A29" s="8" t="n">
        <v>28</v>
      </c>
      <c r="B29" s="9" t="inlineStr">
        <is>
          <t>MobiCom</t>
        </is>
      </c>
      <c r="C29" s="8" t="inlineStr">
        <is>
          <t>A</t>
        </is>
      </c>
      <c r="D29" s="12" t="inlineStr">
        <is>
          <t>计算机网络</t>
        </is>
      </c>
      <c r="E29" s="8" t="inlineStr">
        <is>
          <t>有专属条款</t>
        </is>
      </c>
      <c r="F29" s="8" t="inlineStr">
        <is>
          <t>只有利好通道</t>
        </is>
      </c>
      <c r="G29" s="10" t="inlineStr">
        <is>
          <t>不限</t>
        </is>
      </c>
      <c r="H29" s="10" t="inlineStr">
        <is>
          <t>未找到</t>
        </is>
      </c>
      <c r="I29" s="8" t="inlineStr">
        <is>
          <t>无</t>
        </is>
      </c>
      <c r="J29" s="8" t="inlineStr">
        <is>
          <t>待确认</t>
        </is>
      </c>
      <c r="K29" s="10" t="inlineStr">
        <is>
          <t>未找到</t>
        </is>
      </c>
      <c r="L29" s="10" t="inlineStr">
        <is>
          <t>ACM Student Research Competition（poster）</t>
        </is>
      </c>
      <c r="M29" s="10" t="inlineStr">
        <is>
          <t>未提及</t>
        </is>
      </c>
      <c r="N29" s="10" t="inlineStr">
        <is>
          <t>https://www.sigmobile.org/mobicom/2027/</t>
        </is>
      </c>
      <c r="O29" s="8" t="inlineStr">
        <is>
          <t>中</t>
        </is>
      </c>
      <c r="P29" s="10" t="inlineStr">
        <is>
          <t>仅主页可读，/cfp/与/call-for-papers/均404</t>
        </is>
      </c>
    </row>
    <row r="30" ht="30" customHeight="1">
      <c r="A30" s="8" t="n">
        <v>29</v>
      </c>
      <c r="B30" s="9" t="inlineStr">
        <is>
          <t>NSDI</t>
        </is>
      </c>
      <c r="C30" s="8" t="inlineStr">
        <is>
          <t>A</t>
        </is>
      </c>
      <c r="D30" s="12" t="inlineStr">
        <is>
          <t>计算机网络</t>
        </is>
      </c>
      <c r="E30" s="8" t="inlineStr">
        <is>
          <t>有专属条款</t>
        </is>
      </c>
      <c r="F30" s="8" t="inlineStr">
        <is>
          <t>只有利好通道</t>
        </is>
      </c>
      <c r="G30" s="10" t="inlineStr">
        <is>
          <t>8 篇/届</t>
        </is>
      </c>
      <c r="H30" s="10" t="inlineStr">
        <is>
          <t>无审稿义务</t>
        </is>
      </c>
      <c r="I30" s="8" t="inlineStr">
        <is>
          <t>无</t>
        </is>
      </c>
      <c r="J30" s="8" t="inlineStr">
        <is>
          <t>不强制</t>
        </is>
      </c>
      <c r="K30" s="10" t="inlineStr">
        <is>
          <t>无门槛</t>
        </is>
      </c>
      <c r="L30" s="10" t="inlineStr">
        <is>
          <t>无</t>
        </is>
      </c>
      <c r="M30" s="10" t="inlineStr">
        <is>
          <t>每篇须一名作者全价注册（非学生价）</t>
        </is>
      </c>
      <c r="N30" s="10" t="inlineStr">
        <is>
          <t>https://www.usenix.org/conference/nsdi27/call-for-papers</t>
        </is>
      </c>
      <c r="O30" s="8" t="inlineStr">
        <is>
          <t>高</t>
        </is>
      </c>
      <c r="P30" s="10" t="inlineStr">
        <is>
          <t>学生无法用学生价覆盖论文；全局限8篇</t>
        </is>
      </c>
    </row>
    <row r="31" ht="30" customHeight="1">
      <c r="A31" s="8" t="n">
        <v>30</v>
      </c>
      <c r="B31" s="9" t="inlineStr">
        <is>
          <t>SIGCOMM</t>
        </is>
      </c>
      <c r="C31" s="8" t="inlineStr">
        <is>
          <t>A</t>
        </is>
      </c>
      <c r="D31" s="12" t="inlineStr">
        <is>
          <t>计算机网络</t>
        </is>
      </c>
      <c r="E31" s="8" t="inlineStr">
        <is>
          <t>有专属条款</t>
        </is>
      </c>
      <c r="F31" s="8" t="inlineStr">
        <is>
          <t>有硬性要求</t>
        </is>
      </c>
      <c r="G31" s="10" t="inlineStr">
        <is>
          <t>8 篇/届</t>
        </is>
      </c>
      <c r="H31" s="10" t="inlineStr">
        <is>
          <t>每篇须报一名互惠审稿作者，一般须具博士学位</t>
        </is>
      </c>
      <c r="I31" s="8" t="inlineStr">
        <is>
          <t>无</t>
        </is>
      </c>
      <c r="J31" s="8" t="inlineStr">
        <is>
          <t>不强制</t>
        </is>
      </c>
      <c r="K31" s="10" t="inlineStr">
        <is>
          <t>投稿须填ORCID</t>
        </is>
      </c>
      <c r="L31" s="10" t="inlineStr">
        <is>
          <t>无</t>
        </is>
      </c>
      <c r="M31" s="10" t="inlineStr">
        <is>
          <t>未提及</t>
        </is>
      </c>
      <c r="N31" s="10" t="inlineStr">
        <is>
          <t>https://conferences.sigcomm.org/sigcomm/2027/cfp/</t>
        </is>
      </c>
      <c r="O31" s="8" t="inlineStr">
        <is>
          <t>高</t>
        </is>
      </c>
      <c r="P31" s="10" t="inlineStr">
        <is>
          <t>无博士级互惠审稿人的独立作者最受限；全局限8篇</t>
        </is>
      </c>
    </row>
    <row r="32" ht="30" customHeight="1">
      <c r="A32" s="8" t="n">
        <v>31</v>
      </c>
      <c r="B32" s="9" t="inlineStr">
        <is>
          <t>CCS</t>
        </is>
      </c>
      <c r="C32" s="8" t="inlineStr">
        <is>
          <t>A</t>
        </is>
      </c>
      <c r="D32" s="12" t="inlineStr">
        <is>
          <t>网络与信息安全</t>
        </is>
      </c>
      <c r="E32" s="8" t="inlineStr">
        <is>
          <t>CFP未发布</t>
        </is>
      </c>
      <c r="F32" s="8" t="inlineStr">
        <is>
          <t>CFP未发布</t>
        </is>
      </c>
      <c r="G32" s="10" t="inlineStr">
        <is>
          <t>CFP未发布</t>
        </is>
      </c>
      <c r="H32" s="10" t="inlineStr">
        <is>
          <t>CFP未发布</t>
        </is>
      </c>
      <c r="I32" s="8" t="inlineStr">
        <is>
          <t>CFP未发布</t>
        </is>
      </c>
      <c r="J32" s="8" t="inlineStr">
        <is>
          <t>CFP未发布</t>
        </is>
      </c>
      <c r="K32" s="10" t="inlineStr">
        <is>
          <t>CFP未发布</t>
        </is>
      </c>
      <c r="L32" s="10" t="inlineStr">
        <is>
          <t>CFP未发布</t>
        </is>
      </c>
      <c r="M32" s="10" t="inlineStr">
        <is>
          <t>CFP未发布</t>
        </is>
      </c>
      <c r="N32" s="10" t="inlineStr">
        <is>
          <t>—</t>
        </is>
      </c>
      <c r="O32" s="8" t="inlineStr">
        <is>
          <t>高</t>
        </is>
      </c>
      <c r="P32" s="10" t="inlineStr"/>
    </row>
    <row r="33" ht="30" customHeight="1">
      <c r="A33" s="8" t="n">
        <v>32</v>
      </c>
      <c r="B33" s="9" t="inlineStr">
        <is>
          <t>EUROCRYPT</t>
        </is>
      </c>
      <c r="C33" s="8" t="inlineStr">
        <is>
          <t>A</t>
        </is>
      </c>
      <c r="D33" s="12" t="inlineStr">
        <is>
          <t>网络与信息安全</t>
        </is>
      </c>
      <c r="E33" s="8" t="inlineStr">
        <is>
          <t>无专属条款</t>
        </is>
      </c>
      <c r="F33" s="8" t="inlineStr">
        <is>
          <t>无</t>
        </is>
      </c>
      <c r="G33" s="10" t="inlineStr">
        <is>
          <t>不限</t>
        </is>
      </c>
      <c r="H33" s="10" t="inlineStr">
        <is>
          <t>无审稿义务</t>
        </is>
      </c>
      <c r="I33" s="8" t="inlineStr">
        <is>
          <t>无</t>
        </is>
      </c>
      <c r="J33" s="8" t="inlineStr">
        <is>
          <t>不强制</t>
        </is>
      </c>
      <c r="K33" s="10" t="inlineStr">
        <is>
          <t>无门槛</t>
        </is>
      </c>
      <c r="L33" s="10" t="inlineStr">
        <is>
          <t>无</t>
        </is>
      </c>
      <c r="M33" s="10" t="inlineStr">
        <is>
          <t>未提及</t>
        </is>
      </c>
      <c r="N33" s="10" t="inlineStr">
        <is>
          <t>https://eurocrypt.iacr.org/2027/papersubmission.php</t>
        </is>
      </c>
      <c r="O33" s="8" t="inlineStr">
        <is>
          <t>中</t>
        </is>
      </c>
      <c r="P33" s="10" t="inlineStr">
        <is>
          <t>通读投稿页：仅匿名、格式、COI要求，无A–F条款</t>
        </is>
      </c>
    </row>
    <row r="34" ht="30" customHeight="1">
      <c r="A34" s="8" t="n">
        <v>33</v>
      </c>
      <c r="B34" s="9" t="inlineStr">
        <is>
          <t>NDSS</t>
        </is>
      </c>
      <c r="C34" s="8" t="inlineStr">
        <is>
          <t>A</t>
        </is>
      </c>
      <c r="D34" s="12" t="inlineStr">
        <is>
          <t>网络与信息安全</t>
        </is>
      </c>
      <c r="E34" s="8" t="inlineStr">
        <is>
          <t>有专属条款</t>
        </is>
      </c>
      <c r="F34" s="8" t="inlineStr">
        <is>
          <t>有硬性要求</t>
        </is>
      </c>
      <c r="G34" s="10" t="inlineStr">
        <is>
          <t>6 篇/轮</t>
        </is>
      </c>
      <c r="H34" s="10" t="inlineStr">
        <is>
          <t>无审稿义务</t>
        </is>
      </c>
      <c r="I34" s="8" t="inlineStr">
        <is>
          <t>6 篇/周期（每位作者各自计，适用于所有作者）</t>
        </is>
      </c>
      <c r="J34" s="8" t="inlineStr">
        <is>
          <t>不强制</t>
        </is>
      </c>
      <c r="K34" s="10" t="inlineStr">
        <is>
          <t>无门槛</t>
        </is>
      </c>
      <c r="L34" s="10" t="inlineStr">
        <is>
          <t>无</t>
        </is>
      </c>
      <c r="M34" s="10" t="inlineStr">
        <is>
          <t>未提及</t>
        </is>
      </c>
      <c r="N34" s="10" t="inlineStr">
        <is>
          <t>https://www.ndss-symposium.org/ndss2027/submissions/call-for-papers/</t>
        </is>
      </c>
      <c r="O34" s="8" t="inlineStr">
        <is>
          <t>高</t>
        </is>
      </c>
      <c r="P34" s="10" t="inlineStr">
        <is>
          <t>单周期6篇、全年12篇，超额可desk reject</t>
        </is>
      </c>
    </row>
    <row r="35" ht="30" customHeight="1">
      <c r="A35" s="8" t="n">
        <v>34</v>
      </c>
      <c r="B35" s="9" t="inlineStr">
        <is>
          <t>S&amp;P</t>
        </is>
      </c>
      <c r="C35" s="8" t="inlineStr">
        <is>
          <t>A</t>
        </is>
      </c>
      <c r="D35" s="12" t="inlineStr">
        <is>
          <t>网络与信息安全</t>
        </is>
      </c>
      <c r="E35" s="8" t="inlineStr">
        <is>
          <t>有专属条款</t>
        </is>
      </c>
      <c r="F35" s="8" t="inlineStr">
        <is>
          <t>有硬性要求</t>
        </is>
      </c>
      <c r="G35" s="10" t="inlineStr">
        <is>
          <t>6 篇/轮</t>
        </is>
      </c>
      <c r="H35" s="10" t="inlineStr">
        <is>
          <t>无审稿义务</t>
        </is>
      </c>
      <c r="I35" s="8" t="inlineStr">
        <is>
          <t>每位作者每轮最多 6 篇（适用于所有作者）</t>
        </is>
      </c>
      <c r="J35" s="8" t="inlineStr">
        <is>
          <t>不强制</t>
        </is>
      </c>
      <c r="K35" s="10" t="inlineStr">
        <is>
          <t>摘要注册时须填全部作者 ORCID，邮箱须与 HotCRP 一致</t>
        </is>
      </c>
      <c r="L35" s="10" t="inlineStr">
        <is>
          <t>无</t>
        </is>
      </c>
      <c r="M35" s="10" t="inlineStr">
        <is>
          <t>设学生差旅资助（组委会设专职主席）</t>
        </is>
      </c>
      <c r="N35" s="10" t="inlineStr">
        <is>
          <t>https://sp2027.ieee-security.org/cfpapers.html</t>
        </is>
      </c>
      <c r="O35" s="8" t="inlineStr">
        <is>
          <t>高</t>
        </is>
      </c>
      <c r="P35" s="10" t="inlineStr">
        <is>
          <t>CFP 原文：Any author may submit no more than 6 papers per cycle</t>
        </is>
      </c>
    </row>
    <row r="36" ht="30" customHeight="1">
      <c r="A36" s="8" t="n">
        <v>35</v>
      </c>
      <c r="B36" s="9" t="inlineStr">
        <is>
          <t>USENIX Security</t>
        </is>
      </c>
      <c r="C36" s="8" t="inlineStr">
        <is>
          <t>A</t>
        </is>
      </c>
      <c r="D36" s="12" t="inlineStr">
        <is>
          <t>网络与信息安全</t>
        </is>
      </c>
      <c r="E36" s="8" t="inlineStr">
        <is>
          <t>有专属条款</t>
        </is>
      </c>
      <c r="F36" s="8" t="inlineStr">
        <is>
          <t>有硬性要求</t>
        </is>
      </c>
      <c r="G36" s="10" t="inlineStr">
        <is>
          <t>7 篇/轮</t>
        </is>
      </c>
      <c r="H36" s="10" t="inlineStr">
        <is>
          <t>无审稿义务</t>
        </is>
      </c>
      <c r="I36" s="8" t="inlineStr">
        <is>
          <t>7 篇/周期（每位作者各自计，适用于所有作者）</t>
        </is>
      </c>
      <c r="J36" s="8" t="inlineStr">
        <is>
          <t>不强制</t>
        </is>
      </c>
      <c r="K36" s="10" t="inlineStr">
        <is>
          <t>全员须配 ORCID 并确认投稿条款</t>
        </is>
      </c>
      <c r="L36" s="10" t="inlineStr">
        <is>
          <t>无</t>
        </is>
      </c>
      <c r="M36" s="10" t="inlineStr">
        <is>
          <t>报告者须全价注册，困难可申请减免</t>
        </is>
      </c>
      <c r="N36" s="10" t="inlineStr">
        <is>
          <t>https://www.usenix.org/conference/usenixsecurity27/call-for-papers</t>
        </is>
      </c>
      <c r="O36" s="8" t="inlineStr">
        <is>
          <t>高</t>
        </is>
      </c>
      <c r="P36" s="10" t="inlineStr">
        <is>
          <t>超7篇保留投稿号最小的7篇；学生价不满足报告义务</t>
        </is>
      </c>
    </row>
    <row r="37" ht="30" customHeight="1">
      <c r="A37" s="8" t="n">
        <v>36</v>
      </c>
      <c r="B37" s="9" t="inlineStr">
        <is>
          <t>FM</t>
        </is>
      </c>
      <c r="C37" s="8" t="inlineStr">
        <is>
          <t>A</t>
        </is>
      </c>
      <c r="D37" s="12" t="inlineStr">
        <is>
          <t>软件工程/系统软件</t>
        </is>
      </c>
      <c r="E37" s="8" t="inlineStr">
        <is>
          <t>CFP未发布</t>
        </is>
      </c>
      <c r="F37" s="8" t="inlineStr">
        <is>
          <t>CFP未发布</t>
        </is>
      </c>
      <c r="G37" s="10" t="inlineStr">
        <is>
          <t>CFP未发布</t>
        </is>
      </c>
      <c r="H37" s="10" t="inlineStr">
        <is>
          <t>CFP未发布</t>
        </is>
      </c>
      <c r="I37" s="8" t="inlineStr">
        <is>
          <t>CFP未发布</t>
        </is>
      </c>
      <c r="J37" s="8" t="inlineStr">
        <is>
          <t>CFP未发布</t>
        </is>
      </c>
      <c r="K37" s="10" t="inlineStr">
        <is>
          <t>CFP未发布</t>
        </is>
      </c>
      <c r="L37" s="10" t="inlineStr">
        <is>
          <t>CFP未发布</t>
        </is>
      </c>
      <c r="M37" s="10" t="inlineStr">
        <is>
          <t>CFP未发布</t>
        </is>
      </c>
      <c r="N37" s="10" t="inlineStr">
        <is>
          <t>—</t>
        </is>
      </c>
      <c r="O37" s="8" t="inlineStr">
        <is>
          <t>高</t>
        </is>
      </c>
      <c r="P37" s="10" t="inlineStr"/>
    </row>
    <row r="38" ht="30" customHeight="1">
      <c r="A38" s="8" t="n">
        <v>37</v>
      </c>
      <c r="B38" s="9" t="inlineStr">
        <is>
          <t>FSE</t>
        </is>
      </c>
      <c r="C38" s="8" t="inlineStr">
        <is>
          <t>A</t>
        </is>
      </c>
      <c r="D38" s="12" t="inlineStr">
        <is>
          <t>软件工程/系统软件</t>
        </is>
      </c>
      <c r="E38" s="8" t="inlineStr">
        <is>
          <t>未找到</t>
        </is>
      </c>
      <c r="F38" s="8" t="inlineStr">
        <is>
          <t>未找到</t>
        </is>
      </c>
      <c r="G38" s="10" t="inlineStr">
        <is>
          <t>不限</t>
        </is>
      </c>
      <c r="H38" s="10" t="inlineStr">
        <is>
          <t>未找到</t>
        </is>
      </c>
      <c r="I38" s="8" t="inlineStr">
        <is>
          <t>未找到</t>
        </is>
      </c>
      <c r="J38" s="8" t="inlineStr">
        <is>
          <t>待确认</t>
        </is>
      </c>
      <c r="K38" s="10" t="inlineStr">
        <is>
          <t>未找到</t>
        </is>
      </c>
      <c r="L38" s="10" t="inlineStr">
        <is>
          <t>未找到</t>
        </is>
      </c>
      <c r="M38" s="10" t="inlineStr">
        <is>
          <t>未找到</t>
        </is>
      </c>
      <c r="N38" s="10" t="inlineStr">
        <is>
          <t>https://conf.researchr.org/home/fse-2027</t>
        </is>
      </c>
      <c r="O38" s="8" t="inlineStr">
        <is>
          <t>低</t>
        </is>
      </c>
      <c r="P38" s="10" t="inlineStr">
        <is>
          <t>evidence疑指向密码学FSE；本会Research Papers页需登录</t>
        </is>
      </c>
    </row>
    <row r="39" ht="30" customHeight="1">
      <c r="A39" s="8" t="n">
        <v>38</v>
      </c>
      <c r="B39" s="9" t="inlineStr">
        <is>
          <t>ICSE</t>
        </is>
      </c>
      <c r="C39" s="8" t="inlineStr">
        <is>
          <t>A</t>
        </is>
      </c>
      <c r="D39" s="12" t="inlineStr">
        <is>
          <t>软件工程/系统软件</t>
        </is>
      </c>
      <c r="E39" s="8" t="inlineStr">
        <is>
          <t>未找到</t>
        </is>
      </c>
      <c r="F39" s="8" t="inlineStr">
        <is>
          <t>未找到</t>
        </is>
      </c>
      <c r="G39" s="10" t="inlineStr">
        <is>
          <t>不限</t>
        </is>
      </c>
      <c r="H39" s="10" t="inlineStr">
        <is>
          <t>未找到</t>
        </is>
      </c>
      <c r="I39" s="8" t="inlineStr">
        <is>
          <t>未找到</t>
        </is>
      </c>
      <c r="J39" s="8" t="inlineStr">
        <is>
          <t>待确认</t>
        </is>
      </c>
      <c r="K39" s="10" t="inlineStr">
        <is>
          <t>未找到</t>
        </is>
      </c>
      <c r="L39" s="10" t="inlineStr">
        <is>
          <t>未找到</t>
        </is>
      </c>
      <c r="M39" s="10" t="inlineStr">
        <is>
          <t>未找到</t>
        </is>
      </c>
      <c r="N39" s="10" t="inlineStr">
        <is>
          <t>https://conf.researchr.org/home/icse-2027</t>
        </is>
      </c>
      <c r="O39" s="8" t="inlineStr">
        <is>
          <t>低</t>
        </is>
      </c>
      <c r="P39" s="10" t="inlineStr">
        <is>
          <t>Research Papers CFP返回404；首页仅见双盲与数据共享说明</t>
        </is>
      </c>
    </row>
    <row r="40" ht="30" customHeight="1">
      <c r="A40" s="8" t="n">
        <v>39</v>
      </c>
      <c r="B40" s="9" t="inlineStr">
        <is>
          <t>ISSTA</t>
        </is>
      </c>
      <c r="C40" s="8" t="inlineStr">
        <is>
          <t>A</t>
        </is>
      </c>
      <c r="D40" s="12" t="inlineStr">
        <is>
          <t>软件工程/系统软件</t>
        </is>
      </c>
      <c r="E40" s="8" t="inlineStr">
        <is>
          <t>未找到</t>
        </is>
      </c>
      <c r="F40" s="8" t="inlineStr">
        <is>
          <t>未找到</t>
        </is>
      </c>
      <c r="G40" s="10" t="inlineStr">
        <is>
          <t>不限</t>
        </is>
      </c>
      <c r="H40" s="10" t="inlineStr">
        <is>
          <t>未找到</t>
        </is>
      </c>
      <c r="I40" s="8" t="inlineStr">
        <is>
          <t>未找到</t>
        </is>
      </c>
      <c r="J40" s="8" t="inlineStr">
        <is>
          <t>待确认</t>
        </is>
      </c>
      <c r="K40" s="10" t="inlineStr">
        <is>
          <t>未找到</t>
        </is>
      </c>
      <c r="L40" s="10" t="inlineStr">
        <is>
          <t>未找到</t>
        </is>
      </c>
      <c r="M40" s="10" t="inlineStr">
        <is>
          <t>未找到</t>
        </is>
      </c>
      <c r="N40" s="10" t="inlineStr">
        <is>
          <t>https://conf.researchr.org/track/issta-2027/issta-2027-research-papers</t>
        </is>
      </c>
      <c r="O40" s="8" t="inlineStr">
        <is>
          <t>低</t>
        </is>
      </c>
      <c r="P40" s="10" t="inlineStr">
        <is>
          <t>Research Papers 正文内容仍为 TBD，日期已公布</t>
        </is>
      </c>
    </row>
    <row r="41" ht="30" customHeight="1">
      <c r="A41" s="8" t="n">
        <v>40</v>
      </c>
      <c r="B41" s="9" t="inlineStr">
        <is>
          <t>OOPSLA</t>
        </is>
      </c>
      <c r="C41" s="8" t="inlineStr">
        <is>
          <t>A</t>
        </is>
      </c>
      <c r="D41" s="12" t="inlineStr">
        <is>
          <t>软件工程/系统软件</t>
        </is>
      </c>
      <c r="E41" s="8" t="inlineStr">
        <is>
          <t>有专属条款</t>
        </is>
      </c>
      <c r="F41" s="8" t="inlineStr">
        <is>
          <t>有硬性要求</t>
        </is>
      </c>
      <c r="G41" s="10" t="inlineStr">
        <is>
          <t>5 篇/轮（无资深作者者至多2篇）；全体上限 5 篇/届</t>
        </is>
      </c>
      <c r="H41" s="10" t="inlineStr">
        <is>
          <t>每篇须1名资深作者注册储备审稿人，否则可desk reject</t>
        </is>
      </c>
      <c r="I41" s="8" t="inlineStr">
        <is>
          <t>5 篇/轮（无资深作者者至多2篇）</t>
        </is>
      </c>
      <c r="J41" s="8" t="inlineStr">
        <is>
          <t>不强制</t>
        </is>
      </c>
      <c r="K41" s="10" t="inlineStr">
        <is>
          <t>储备审稿人须用HotCRP同邮箱在TPMS注册</t>
        </is>
      </c>
      <c r="L41" s="10" t="inlineStr">
        <is>
          <t>无</t>
        </is>
      </c>
      <c r="M41" s="10" t="inlineStr">
        <is>
          <t>未提及</t>
        </is>
      </c>
      <c r="N41" s="10" t="inlineStr">
        <is>
          <t>https://2027.splashcon.org/track/splashoopsla2027</t>
        </is>
      </c>
      <c r="O41" s="8" t="inlineStr">
        <is>
          <t>高</t>
        </is>
      </c>
      <c r="P41" s="10" t="inlineStr">
        <is>
          <t>无资深作者、或资深者为SIGPLAN/SIGSOFT新人可豁免</t>
        </is>
      </c>
    </row>
    <row r="42" ht="30" customHeight="1">
      <c r="A42" s="8" t="n">
        <v>41</v>
      </c>
      <c r="B42" s="9" t="inlineStr">
        <is>
          <t>OSDI</t>
        </is>
      </c>
      <c r="C42" s="8" t="inlineStr">
        <is>
          <t>A</t>
        </is>
      </c>
      <c r="D42" s="12" t="inlineStr">
        <is>
          <t>软件工程/系统软件</t>
        </is>
      </c>
      <c r="E42" s="8" t="inlineStr">
        <is>
          <t>有专属条款</t>
        </is>
      </c>
      <c r="F42" s="8" t="inlineStr">
        <is>
          <t>有硬性要求</t>
        </is>
      </c>
      <c r="G42" s="10" t="inlineStr">
        <is>
          <t>8 篇/届</t>
        </is>
      </c>
      <c r="H42" s="10" t="inlineStr">
        <is>
          <t>无审稿义务</t>
        </is>
      </c>
      <c r="I42" s="8" t="inlineStr">
        <is>
          <t>8 篇（每位作者各自计，适用于所有作者）</t>
        </is>
      </c>
      <c r="J42" s="8" t="inlineStr">
        <is>
          <t>不强制</t>
        </is>
      </c>
      <c r="K42" s="10" t="inlineStr">
        <is>
          <t>无门槛</t>
        </is>
      </c>
      <c r="L42" s="10" t="inlineStr">
        <is>
          <t>无</t>
        </is>
      </c>
      <c r="M42" s="10" t="inlineStr">
        <is>
          <t>未提及</t>
        </is>
      </c>
      <c r="N42" s="10" t="inlineStr">
        <is>
          <t>https://www.usenix.org/conference/osdi27/call-for-papers</t>
        </is>
      </c>
      <c r="O42" s="8" t="inlineStr">
        <is>
          <t>高</t>
        </is>
      </c>
      <c r="P42" s="10" t="inlineStr">
        <is>
          <t>超8篇由项目主席desk reject多余投稿</t>
        </is>
      </c>
    </row>
    <row r="43" ht="30" customHeight="1">
      <c r="A43" s="8" t="n">
        <v>42</v>
      </c>
      <c r="B43" s="9" t="inlineStr">
        <is>
          <t>PLDI</t>
        </is>
      </c>
      <c r="C43" s="8" t="inlineStr">
        <is>
          <t>A</t>
        </is>
      </c>
      <c r="D43" s="12" t="inlineStr">
        <is>
          <t>软件工程/系统软件</t>
        </is>
      </c>
      <c r="E43" s="8" t="inlineStr">
        <is>
          <t>有专属条款</t>
        </is>
      </c>
      <c r="F43" s="8" t="inlineStr">
        <is>
          <t>有硬性要求</t>
        </is>
      </c>
      <c r="G43" s="10" t="inlineStr">
        <is>
          <t>不限</t>
        </is>
      </c>
      <c r="H43" s="10" t="inlineStr">
        <is>
          <t>每篇须 1 名资深作者注册 reserve reviewer（无资深作者可豁免）</t>
        </is>
      </c>
      <c r="I43" s="8" t="inlineStr">
        <is>
          <t>无</t>
        </is>
      </c>
      <c r="J43" s="8" t="inlineStr">
        <is>
          <t>不强制</t>
        </is>
      </c>
      <c r="K43" s="10" t="inlineStr">
        <is>
          <t>无门槛</t>
        </is>
      </c>
      <c r="L43" s="10" t="inlineStr">
        <is>
          <t>无</t>
        </is>
      </c>
      <c r="M43" s="10" t="inlineStr">
        <is>
          <t>录用后可申请 SIGPLAN PAC 差旅资助</t>
        </is>
      </c>
      <c r="N43" s="10" t="inlineStr">
        <is>
          <t>https://pldi27.sigplan.org/track/pldi-2027-papers</t>
        </is>
      </c>
      <c r="O43" s="8" t="inlineStr">
        <is>
          <t>高</t>
        </is>
      </c>
      <c r="P43" s="10" t="inlineStr">
        <is>
          <t>资深=博士毕业满 5 年或任教职；作者全为新人可豁免</t>
        </is>
      </c>
    </row>
    <row r="44" ht="30" customHeight="1">
      <c r="A44" s="8" t="n">
        <v>43</v>
      </c>
      <c r="B44" s="9" t="inlineStr">
        <is>
          <t>POPL</t>
        </is>
      </c>
      <c r="C44" s="8" t="inlineStr">
        <is>
          <t>A</t>
        </is>
      </c>
      <c r="D44" s="12" t="inlineStr">
        <is>
          <t>软件工程/系统软件</t>
        </is>
      </c>
      <c r="E44" s="8" t="inlineStr">
        <is>
          <t>有专属条款</t>
        </is>
      </c>
      <c r="F44" s="8" t="inlineStr">
        <is>
          <t>有硬性要求</t>
        </is>
      </c>
      <c r="G44" s="10" t="inlineStr">
        <is>
          <t>不限</t>
        </is>
      </c>
      <c r="H44" s="10" t="inlineStr">
        <is>
          <t>每篇至少1名资深作者须在TPMS注册储备审稿人</t>
        </is>
      </c>
      <c r="I44" s="8" t="inlineStr">
        <is>
          <t>无</t>
        </is>
      </c>
      <c r="J44" s="8" t="inlineStr">
        <is>
          <t>不强制</t>
        </is>
      </c>
      <c r="K44" s="10" t="inlineStr">
        <is>
          <t>储备审稿人须用HotCRP同邮箱在TPMS注册</t>
        </is>
      </c>
      <c r="L44" s="10" t="inlineStr">
        <is>
          <t>无</t>
        </is>
      </c>
      <c r="M44" s="10" t="inlineStr">
        <is>
          <t>未提及</t>
        </is>
      </c>
      <c r="N44" s="10" t="inlineStr">
        <is>
          <t>https://popl27.sigplan.org/track/POPL-2027-popl-research-papers</t>
        </is>
      </c>
      <c r="O44" s="8" t="inlineStr">
        <is>
          <t>高</t>
        </is>
      </c>
      <c r="P44" s="10" t="inlineStr">
        <is>
          <t>2027新政；无资深作者或资深者为SIGPLAN新人可豁免</t>
        </is>
      </c>
    </row>
    <row r="45" ht="30" customHeight="1">
      <c r="A45" s="8" t="n">
        <v>44</v>
      </c>
      <c r="B45" s="9" t="inlineStr">
        <is>
          <t>AAMAS</t>
        </is>
      </c>
      <c r="C45" s="8" t="inlineStr">
        <is>
          <t>B</t>
        </is>
      </c>
      <c r="D45" s="12" t="inlineStr">
        <is>
          <t>人工智能</t>
        </is>
      </c>
      <c r="E45" s="8" t="inlineStr">
        <is>
          <t>未找到</t>
        </is>
      </c>
      <c r="F45" s="8" t="inlineStr">
        <is>
          <t>未找到</t>
        </is>
      </c>
      <c r="G45" s="10" t="inlineStr">
        <is>
          <t>不限</t>
        </is>
      </c>
      <c r="H45" s="10" t="inlineStr">
        <is>
          <t>未找到</t>
        </is>
      </c>
      <c r="I45" s="8" t="inlineStr">
        <is>
          <t>未找到</t>
        </is>
      </c>
      <c r="J45" s="8" t="inlineStr">
        <is>
          <t>待确认</t>
        </is>
      </c>
      <c r="K45" s="10" t="inlineStr">
        <is>
          <t>未找到</t>
        </is>
      </c>
      <c r="L45" s="10" t="inlineStr">
        <is>
          <t>未找到</t>
        </is>
      </c>
      <c r="M45" s="10" t="inlineStr">
        <is>
          <t>未找到</t>
        </is>
      </c>
      <c r="N45" s="10" t="inlineStr">
        <is>
          <t>https://warwick.ac.uk/fac/sci/dcs/aamas2027/</t>
        </is>
      </c>
      <c r="O45" s="8" t="inlineStr">
        <is>
          <t>低</t>
        </is>
      </c>
      <c r="P45" s="10" t="inlineStr">
        <is>
          <t>主页仅列各track日期；/call-for-papers 返回404</t>
        </is>
      </c>
    </row>
    <row r="46" ht="30" customHeight="1">
      <c r="A46" s="8" t="n">
        <v>45</v>
      </c>
      <c r="B46" s="9" t="inlineStr">
        <is>
          <t>COLING</t>
        </is>
      </c>
      <c r="C46" s="8" t="inlineStr">
        <is>
          <t>B</t>
        </is>
      </c>
      <c r="D46" s="12" t="inlineStr">
        <is>
          <t>人工智能</t>
        </is>
      </c>
      <c r="E46" s="8" t="inlineStr">
        <is>
          <t>未找到</t>
        </is>
      </c>
      <c r="F46" s="8" t="inlineStr">
        <is>
          <t>未找到</t>
        </is>
      </c>
      <c r="G46" s="10" t="inlineStr">
        <is>
          <t>不限</t>
        </is>
      </c>
      <c r="H46" s="10" t="inlineStr">
        <is>
          <t>未找到</t>
        </is>
      </c>
      <c r="I46" s="8" t="inlineStr">
        <is>
          <t>未找到</t>
        </is>
      </c>
      <c r="J46" s="8" t="inlineStr">
        <is>
          <t>待确认</t>
        </is>
      </c>
      <c r="K46" s="10" t="inlineStr">
        <is>
          <t>未找到</t>
        </is>
      </c>
      <c r="L46" s="10" t="inlineStr">
        <is>
          <t>未找到</t>
        </is>
      </c>
      <c r="M46" s="10" t="inlineStr">
        <is>
          <t>未找到</t>
        </is>
      </c>
      <c r="N46" s="10" t="inlineStr">
        <is>
          <t>https://2027.coling-iccl.org/calls/main_conference_papers/</t>
        </is>
      </c>
      <c r="O46" s="8" t="inlineStr">
        <is>
          <t>中</t>
        </is>
      </c>
      <c r="P46" s="10" t="inlineStr">
        <is>
          <t>主会CFP通篇无A–F；须经ARR平台投稿，细则另见ARR</t>
        </is>
      </c>
    </row>
    <row r="47" ht="30" customHeight="1">
      <c r="A47" s="8" t="n">
        <v>46</v>
      </c>
      <c r="B47" s="9" t="inlineStr">
        <is>
          <t>COLT</t>
        </is>
      </c>
      <c r="C47" s="8" t="inlineStr">
        <is>
          <t>B</t>
        </is>
      </c>
      <c r="D47" s="12" t="inlineStr">
        <is>
          <t>人工智能</t>
        </is>
      </c>
      <c r="E47" s="8" t="inlineStr">
        <is>
          <t>CFP未发布</t>
        </is>
      </c>
      <c r="F47" s="8" t="inlineStr">
        <is>
          <t>CFP未发布</t>
        </is>
      </c>
      <c r="G47" s="10" t="inlineStr">
        <is>
          <t>CFP未发布</t>
        </is>
      </c>
      <c r="H47" s="10" t="inlineStr">
        <is>
          <t>CFP未发布</t>
        </is>
      </c>
      <c r="I47" s="8" t="inlineStr">
        <is>
          <t>CFP未发布</t>
        </is>
      </c>
      <c r="J47" s="8" t="inlineStr">
        <is>
          <t>CFP未发布</t>
        </is>
      </c>
      <c r="K47" s="10" t="inlineStr">
        <is>
          <t>CFP未发布</t>
        </is>
      </c>
      <c r="L47" s="10" t="inlineStr">
        <is>
          <t>CFP未发布</t>
        </is>
      </c>
      <c r="M47" s="10" t="inlineStr">
        <is>
          <t>CFP未发布</t>
        </is>
      </c>
      <c r="N47" s="10" t="inlineStr">
        <is>
          <t>—</t>
        </is>
      </c>
      <c r="O47" s="8" t="inlineStr">
        <is>
          <t>高</t>
        </is>
      </c>
      <c r="P47" s="10" t="inlineStr"/>
    </row>
    <row r="48" ht="30" customHeight="1">
      <c r="A48" s="8" t="n">
        <v>47</v>
      </c>
      <c r="B48" s="9" t="inlineStr">
        <is>
          <t>ECAI</t>
        </is>
      </c>
      <c r="C48" s="8" t="inlineStr">
        <is>
          <t>B</t>
        </is>
      </c>
      <c r="D48" s="12" t="inlineStr">
        <is>
          <t>人工智能</t>
        </is>
      </c>
      <c r="E48" s="8" t="inlineStr">
        <is>
          <t>有专属条款</t>
        </is>
      </c>
      <c r="F48" s="8" t="inlineStr">
        <is>
          <t>只有利好通道</t>
        </is>
      </c>
      <c r="G48" s="10" t="inlineStr">
        <is>
          <t>不限</t>
        </is>
      </c>
      <c r="H48" s="10" t="inlineStr">
        <is>
          <t>未找到</t>
        </is>
      </c>
      <c r="I48" s="8" t="inlineStr">
        <is>
          <t>未找到</t>
        </is>
      </c>
      <c r="J48" s="8" t="inlineStr">
        <is>
          <t>待确认</t>
        </is>
      </c>
      <c r="K48" s="10" t="inlineStr">
        <is>
          <t>未找到</t>
        </is>
      </c>
      <c r="L48" s="10" t="inlineStr">
        <is>
          <t>Doctoral Consortium, STAIRS</t>
        </is>
      </c>
      <c r="M48" s="10" t="inlineStr">
        <is>
          <t>未找到</t>
        </is>
      </c>
      <c r="N48" s="10" t="inlineStr">
        <is>
          <t>https://ecai2027.org/</t>
        </is>
      </c>
      <c r="O48" s="8" t="inlineStr">
        <is>
          <t>中</t>
        </is>
      </c>
      <c r="P48" s="10" t="inlineStr">
        <is>
          <t>CFP尚未发布；学生通道信息仅见于官网主页介绍</t>
        </is>
      </c>
    </row>
    <row r="49" ht="30" customHeight="1">
      <c r="A49" s="8" t="n">
        <v>48</v>
      </c>
      <c r="B49" s="9" t="inlineStr">
        <is>
          <t>ICAPS</t>
        </is>
      </c>
      <c r="C49" s="8" t="inlineStr">
        <is>
          <t>B</t>
        </is>
      </c>
      <c r="D49" s="12" t="inlineStr">
        <is>
          <t>人工智能</t>
        </is>
      </c>
      <c r="E49" s="8" t="inlineStr">
        <is>
          <t>CFP未发布</t>
        </is>
      </c>
      <c r="F49" s="8" t="inlineStr">
        <is>
          <t>CFP未发布</t>
        </is>
      </c>
      <c r="G49" s="10" t="inlineStr">
        <is>
          <t>CFP未发布</t>
        </is>
      </c>
      <c r="H49" s="10" t="inlineStr">
        <is>
          <t>CFP未发布</t>
        </is>
      </c>
      <c r="I49" s="8" t="inlineStr">
        <is>
          <t>CFP未发布</t>
        </is>
      </c>
      <c r="J49" s="8" t="inlineStr">
        <is>
          <t>CFP未发布</t>
        </is>
      </c>
      <c r="K49" s="10" t="inlineStr">
        <is>
          <t>CFP未发布</t>
        </is>
      </c>
      <c r="L49" s="10" t="inlineStr">
        <is>
          <t>CFP未发布</t>
        </is>
      </c>
      <c r="M49" s="10" t="inlineStr">
        <is>
          <t>CFP未发布</t>
        </is>
      </c>
      <c r="N49" s="10" t="inlineStr">
        <is>
          <t>—</t>
        </is>
      </c>
      <c r="O49" s="8" t="inlineStr">
        <is>
          <t>高</t>
        </is>
      </c>
      <c r="P49" s="10" t="inlineStr"/>
    </row>
    <row r="50" ht="30" customHeight="1">
      <c r="A50" s="8" t="n">
        <v>49</v>
      </c>
      <c r="B50" s="9" t="inlineStr">
        <is>
          <t>ICRA</t>
        </is>
      </c>
      <c r="C50" s="8" t="inlineStr">
        <is>
          <t>B</t>
        </is>
      </c>
      <c r="D50" s="12" t="inlineStr">
        <is>
          <t>人工智能</t>
        </is>
      </c>
      <c r="E50" s="8" t="inlineStr">
        <is>
          <t>未找到</t>
        </is>
      </c>
      <c r="F50" s="8" t="inlineStr">
        <is>
          <t>未找到</t>
        </is>
      </c>
      <c r="G50" s="10" t="inlineStr">
        <is>
          <t>不限</t>
        </is>
      </c>
      <c r="H50" s="10" t="inlineStr">
        <is>
          <t>未找到</t>
        </is>
      </c>
      <c r="I50" s="8" t="inlineStr">
        <is>
          <t>未找到</t>
        </is>
      </c>
      <c r="J50" s="8" t="inlineStr">
        <is>
          <t>待确认</t>
        </is>
      </c>
      <c r="K50" s="10" t="inlineStr">
        <is>
          <t>未找到</t>
        </is>
      </c>
      <c r="L50" s="10" t="inlineStr">
        <is>
          <t>未找到</t>
        </is>
      </c>
      <c r="M50" s="10" t="inlineStr">
        <is>
          <t>未找到</t>
        </is>
      </c>
      <c r="N50" s="10" t="inlineStr">
        <is>
          <t>https://2027.ieee-icra.org/call-for-papers/</t>
        </is>
      </c>
      <c r="O50" s="8" t="inlineStr">
        <is>
          <t>低</t>
        </is>
      </c>
      <c r="P50" s="10" t="inlineStr">
        <is>
          <t>官网仅称将发布 Call for Papers，尚无 Authors 条款页</t>
        </is>
      </c>
    </row>
    <row r="51" ht="30" customHeight="1">
      <c r="A51" s="8" t="n">
        <v>50</v>
      </c>
      <c r="B51" s="9" t="inlineStr">
        <is>
          <t>IJCAI</t>
        </is>
      </c>
      <c r="C51" s="8" t="inlineStr">
        <is>
          <t>B</t>
        </is>
      </c>
      <c r="D51" s="12" t="inlineStr">
        <is>
          <t>人工智能</t>
        </is>
      </c>
      <c r="E51" s="8" t="inlineStr">
        <is>
          <t>未找到</t>
        </is>
      </c>
      <c r="F51" s="8" t="inlineStr">
        <is>
          <t>未找到</t>
        </is>
      </c>
      <c r="G51" s="10" t="inlineStr">
        <is>
          <t>不限</t>
        </is>
      </c>
      <c r="H51" s="10" t="inlineStr">
        <is>
          <t>未找到</t>
        </is>
      </c>
      <c r="I51" s="8" t="inlineStr">
        <is>
          <t>未找到</t>
        </is>
      </c>
      <c r="J51" s="8" t="inlineStr">
        <is>
          <t>待确认</t>
        </is>
      </c>
      <c r="K51" s="10" t="inlineStr">
        <is>
          <t>未找到</t>
        </is>
      </c>
      <c r="L51" s="10" t="inlineStr">
        <is>
          <t>未找到</t>
        </is>
      </c>
      <c r="M51" s="10" t="inlineStr">
        <is>
          <t>未找到</t>
        </is>
      </c>
      <c r="N51" s="10" t="inlineStr">
        <is>
          <t>https://2027.ijcai.org/</t>
        </is>
      </c>
      <c r="O51" s="8" t="inlineStr">
        <is>
          <t>低</t>
        </is>
      </c>
      <c r="P51" s="10" t="inlineStr">
        <is>
          <t>官网仅列重要日期，Authors/CFP 页 404</t>
        </is>
      </c>
    </row>
    <row r="52" ht="30" customHeight="1">
      <c r="A52" s="8" t="n">
        <v>51</v>
      </c>
      <c r="B52" s="9" t="inlineStr">
        <is>
          <t>KR</t>
        </is>
      </c>
      <c r="C52" s="8" t="inlineStr">
        <is>
          <t>B</t>
        </is>
      </c>
      <c r="D52" s="12" t="inlineStr">
        <is>
          <t>人工智能</t>
        </is>
      </c>
      <c r="E52" s="8" t="inlineStr">
        <is>
          <t>未找到</t>
        </is>
      </c>
      <c r="F52" s="8" t="inlineStr">
        <is>
          <t>未找到</t>
        </is>
      </c>
      <c r="G52" s="10" t="inlineStr">
        <is>
          <t>不限</t>
        </is>
      </c>
      <c r="H52" s="10" t="inlineStr">
        <is>
          <t>未找到</t>
        </is>
      </c>
      <c r="I52" s="8" t="inlineStr">
        <is>
          <t>未找到</t>
        </is>
      </c>
      <c r="J52" s="8" t="inlineStr">
        <is>
          <t>待确认</t>
        </is>
      </c>
      <c r="K52" s="10" t="inlineStr">
        <is>
          <t>未找到</t>
        </is>
      </c>
      <c r="L52" s="10" t="inlineStr">
        <is>
          <t>未找到</t>
        </is>
      </c>
      <c r="M52" s="10" t="inlineStr">
        <is>
          <t>未提及</t>
        </is>
      </c>
      <c r="N52" s="10" t="inlineStr">
        <is>
          <t>https://kr.org/KR2027/</t>
        </is>
      </c>
      <c r="O52" s="8" t="inlineStr">
        <is>
          <t>低</t>
        </is>
      </c>
      <c r="P52" s="10" t="inlineStr">
        <is>
          <t>站点仅会议简介，无投稿与作者页</t>
        </is>
      </c>
    </row>
    <row r="53" ht="30" customHeight="1">
      <c r="A53" s="8" t="n">
        <v>52</v>
      </c>
      <c r="B53" s="9" t="inlineStr">
        <is>
          <t>NAACL</t>
        </is>
      </c>
      <c r="C53" s="8" t="inlineStr">
        <is>
          <t>B</t>
        </is>
      </c>
      <c r="D53" s="12" t="inlineStr">
        <is>
          <t>人工智能</t>
        </is>
      </c>
      <c r="E53" s="8" t="inlineStr">
        <is>
          <t>有专属条款</t>
        </is>
      </c>
      <c r="F53" s="8" t="inlineStr">
        <is>
          <t>有硬性要求</t>
        </is>
      </c>
      <c r="G53" s="10" t="inlineStr">
        <is>
          <t>20 篇/周期、一作 5 篇；无贡献者入抽签</t>
        </is>
      </c>
      <c r="H53" s="10" t="inlineStr">
        <is>
          <t>每篇投稿须指定合格 service contributor 并登记</t>
        </is>
      </c>
      <c r="I53" s="8" t="inlineStr">
        <is>
          <t>20 篇/周期、一作 5 篇；无贡献者入抽签</t>
        </is>
      </c>
      <c r="J53" s="8" t="inlineStr">
        <is>
          <t>不强制</t>
        </is>
      </c>
      <c r="K53" s="10" t="inlineStr">
        <is>
          <t>全体作者须有含 ORCiD 的 OpenReview 档案</t>
        </is>
      </c>
      <c r="L53" s="10" t="inlineStr">
        <is>
          <t>无</t>
        </is>
      </c>
      <c r="M53" s="10" t="inlineStr">
        <is>
          <t>未提及</t>
        </is>
      </c>
      <c r="N53" s="10" t="inlineStr">
        <is>
          <t>https://2027.naacl.org/calls/main_conference_papers/</t>
        </is>
      </c>
      <c r="O53" s="8" t="inlineStr">
        <is>
          <t>高</t>
        </is>
      </c>
      <c r="P53" s="10" t="inlineStr">
        <is>
          <t>互惠审稿细则见 ARR 2026 可持续审稿政策</t>
        </is>
      </c>
    </row>
    <row r="54" ht="30" customHeight="1">
      <c r="A54" s="8" t="n">
        <v>53</v>
      </c>
      <c r="B54" s="9" t="inlineStr">
        <is>
          <t>DCC</t>
        </is>
      </c>
      <c r="C54" s="8" t="inlineStr">
        <is>
          <t>B</t>
        </is>
      </c>
      <c r="D54" s="12" t="inlineStr">
        <is>
          <t>图形学与多媒体</t>
        </is>
      </c>
      <c r="E54" s="8" t="inlineStr">
        <is>
          <t>无专属条款</t>
        </is>
      </c>
      <c r="F54" s="8" t="inlineStr">
        <is>
          <t>无</t>
        </is>
      </c>
      <c r="G54" s="10" t="inlineStr">
        <is>
          <t>不限</t>
        </is>
      </c>
      <c r="H54" s="10" t="inlineStr">
        <is>
          <t>无审稿义务</t>
        </is>
      </c>
      <c r="I54" s="8" t="inlineStr">
        <is>
          <t>无</t>
        </is>
      </c>
      <c r="J54" s="8" t="inlineStr">
        <is>
          <t>不强制</t>
        </is>
      </c>
      <c r="K54" s="10" t="inlineStr">
        <is>
          <t>无门槛</t>
        </is>
      </c>
      <c r="L54" s="10" t="inlineStr">
        <is>
          <t>无</t>
        </is>
      </c>
      <c r="M54" s="10" t="inlineStr">
        <is>
          <t>未提及</t>
        </is>
      </c>
      <c r="N54" s="10" t="inlineStr">
        <is>
          <t>https://datacompressionconference.org/call-for-papers/information-for-authors/</t>
        </is>
      </c>
      <c r="O54" s="8" t="inlineStr">
        <is>
          <t>中</t>
        </is>
      </c>
      <c r="P54" s="10" t="inlineStr">
        <is>
          <t>CFP 与作者须知页仅规范格式与双盲，无 A–F</t>
        </is>
      </c>
    </row>
    <row r="55" ht="30" customHeight="1">
      <c r="A55" s="8" t="n">
        <v>54</v>
      </c>
      <c r="B55" s="9" t="inlineStr">
        <is>
          <t>EuroVis</t>
        </is>
      </c>
      <c r="C55" s="8" t="inlineStr">
        <is>
          <t>B</t>
        </is>
      </c>
      <c r="D55" s="12" t="inlineStr">
        <is>
          <t>图形学与多媒体</t>
        </is>
      </c>
      <c r="E55" s="8" t="inlineStr">
        <is>
          <t>未找到</t>
        </is>
      </c>
      <c r="F55" s="8" t="inlineStr">
        <is>
          <t>未找到</t>
        </is>
      </c>
      <c r="G55" s="10" t="inlineStr">
        <is>
          <t>不限</t>
        </is>
      </c>
      <c r="H55" s="10" t="inlineStr">
        <is>
          <t>未找到</t>
        </is>
      </c>
      <c r="I55" s="8" t="inlineStr">
        <is>
          <t>未找到</t>
        </is>
      </c>
      <c r="J55" s="8" t="inlineStr">
        <is>
          <t>待确认</t>
        </is>
      </c>
      <c r="K55" s="10" t="inlineStr">
        <is>
          <t>未找到</t>
        </is>
      </c>
      <c r="L55" s="10" t="inlineStr">
        <is>
          <t>未找到</t>
        </is>
      </c>
      <c r="M55" s="10" t="inlineStr">
        <is>
          <t>未提及</t>
        </is>
      </c>
      <c r="N55" s="10" t="inlineStr">
        <is>
          <t>https://eurovis27.github.io/web/submissions/all-deadlines/</t>
        </is>
      </c>
      <c r="O55" s="8" t="inlineStr">
        <is>
          <t>低</t>
        </is>
      </c>
      <c r="P55" s="10" t="inlineStr">
        <is>
          <t>仅见各 track 截稿日，full papers 正文为空</t>
        </is>
      </c>
    </row>
    <row r="56" ht="30" customHeight="1">
      <c r="A56" s="8" t="n">
        <v>55</v>
      </c>
      <c r="B56" s="9" t="inlineStr">
        <is>
          <t>Eurographics</t>
        </is>
      </c>
      <c r="C56" s="8" t="inlineStr">
        <is>
          <t>B</t>
        </is>
      </c>
      <c r="D56" s="12" t="inlineStr">
        <is>
          <t>图形学与多媒体</t>
        </is>
      </c>
      <c r="E56" s="8" t="inlineStr">
        <is>
          <t>未找到</t>
        </is>
      </c>
      <c r="F56" s="8" t="inlineStr">
        <is>
          <t>未找到</t>
        </is>
      </c>
      <c r="G56" s="10" t="inlineStr">
        <is>
          <t>不限</t>
        </is>
      </c>
      <c r="H56" s="10" t="inlineStr">
        <is>
          <t>未找到</t>
        </is>
      </c>
      <c r="I56" s="8" t="inlineStr">
        <is>
          <t>未找到</t>
        </is>
      </c>
      <c r="J56" s="8" t="inlineStr">
        <is>
          <t>待确认</t>
        </is>
      </c>
      <c r="K56" s="10" t="inlineStr">
        <is>
          <t>未找到</t>
        </is>
      </c>
      <c r="L56" s="10" t="inlineStr">
        <is>
          <t>未找到</t>
        </is>
      </c>
      <c r="M56" s="10" t="inlineStr">
        <is>
          <t>未提及</t>
        </is>
      </c>
      <c r="N56" s="10" t="inlineStr">
        <is>
          <t>https://eg2027.isti.cnr.it/</t>
        </is>
      </c>
      <c r="O56" s="8" t="inlineStr">
        <is>
          <t>低</t>
        </is>
      </c>
      <c r="P56" s="10" t="inlineStr">
        <is>
          <t>首页仅有 STAR 延期通知，无作者条款</t>
        </is>
      </c>
    </row>
    <row r="57" ht="30" customHeight="1">
      <c r="A57" s="8" t="n">
        <v>56</v>
      </c>
      <c r="B57" s="9" t="inlineStr">
        <is>
          <t>ICASSP</t>
        </is>
      </c>
      <c r="C57" s="8" t="inlineStr">
        <is>
          <t>B</t>
        </is>
      </c>
      <c r="D57" s="12" t="inlineStr">
        <is>
          <t>图形学与多媒体</t>
        </is>
      </c>
      <c r="E57" s="8" t="inlineStr">
        <is>
          <t>无专属条款</t>
        </is>
      </c>
      <c r="F57" s="8" t="inlineStr">
        <is>
          <t>无</t>
        </is>
      </c>
      <c r="G57" s="10" t="inlineStr">
        <is>
          <t>不限</t>
        </is>
      </c>
      <c r="H57" s="10" t="inlineStr">
        <is>
          <t>无审稿义务</t>
        </is>
      </c>
      <c r="I57" s="8" t="inlineStr">
        <is>
          <t>无</t>
        </is>
      </c>
      <c r="J57" s="8" t="inlineStr">
        <is>
          <t>不强制</t>
        </is>
      </c>
      <c r="K57" s="10" t="inlineStr">
        <is>
          <t>无门槛</t>
        </is>
      </c>
      <c r="L57" s="10" t="inlineStr">
        <is>
          <t>无</t>
        </is>
      </c>
      <c r="M57" s="10" t="inlineStr">
        <is>
          <t>未提及</t>
        </is>
      </c>
      <c r="N57" s="10" t="inlineStr">
        <is>
          <t>https://2027.ieeeicassp.org/call-for-papers/</t>
        </is>
      </c>
      <c r="O57" s="8" t="inlineStr">
        <is>
          <t>中</t>
        </is>
      </c>
      <c r="P57" s="10" t="inlineStr">
        <is>
          <t>CFP 页仅列日期、范围与 OJSP 通道</t>
        </is>
      </c>
    </row>
    <row r="58" ht="30" customHeight="1">
      <c r="A58" s="8" t="n">
        <v>57</v>
      </c>
      <c r="B58" s="9" t="inlineStr">
        <is>
          <t>ICME</t>
        </is>
      </c>
      <c r="C58" s="8" t="inlineStr">
        <is>
          <t>B</t>
        </is>
      </c>
      <c r="D58" s="12" t="inlineStr">
        <is>
          <t>图形学与多媒体</t>
        </is>
      </c>
      <c r="E58" s="8" t="inlineStr">
        <is>
          <t>无专属条款</t>
        </is>
      </c>
      <c r="F58" s="8" t="inlineStr">
        <is>
          <t>无</t>
        </is>
      </c>
      <c r="G58" s="10" t="inlineStr">
        <is>
          <t>不限</t>
        </is>
      </c>
      <c r="H58" s="10" t="inlineStr">
        <is>
          <t>无审稿义务</t>
        </is>
      </c>
      <c r="I58" s="8" t="inlineStr">
        <is>
          <t>无</t>
        </is>
      </c>
      <c r="J58" s="8" t="inlineStr">
        <is>
          <t>不强制</t>
        </is>
      </c>
      <c r="K58" s="10" t="inlineStr">
        <is>
          <t>无门槛</t>
        </is>
      </c>
      <c r="L58" s="10" t="inlineStr">
        <is>
          <t>无</t>
        </is>
      </c>
      <c r="M58" s="10" t="inlineStr">
        <is>
          <t>未提及</t>
        </is>
      </c>
      <c r="N58" s="10" t="inlineStr">
        <is>
          <t>https://2027.ieeeicme.org/authors/call-for-papers</t>
        </is>
      </c>
      <c r="O58" s="8" t="inlineStr">
        <is>
          <t>中</t>
        </is>
      </c>
      <c r="P58" s="10" t="inlineStr">
        <is>
          <t>CFP 页仅列主题与日期，无新人/学生条款</t>
        </is>
      </c>
    </row>
    <row r="59" ht="30" customHeight="1">
      <c r="A59" s="8" t="n">
        <v>58</v>
      </c>
      <c r="B59" s="9" t="inlineStr">
        <is>
          <t>ICMR</t>
        </is>
      </c>
      <c r="C59" s="8" t="inlineStr">
        <is>
          <t>B</t>
        </is>
      </c>
      <c r="D59" s="12" t="inlineStr">
        <is>
          <t>图形学与多媒体</t>
        </is>
      </c>
      <c r="E59" s="8" t="inlineStr">
        <is>
          <t>CFP未发布</t>
        </is>
      </c>
      <c r="F59" s="8" t="inlineStr">
        <is>
          <t>CFP未发布</t>
        </is>
      </c>
      <c r="G59" s="10" t="inlineStr">
        <is>
          <t>CFP未发布</t>
        </is>
      </c>
      <c r="H59" s="10" t="inlineStr">
        <is>
          <t>CFP未发布</t>
        </is>
      </c>
      <c r="I59" s="8" t="inlineStr">
        <is>
          <t>CFP未发布</t>
        </is>
      </c>
      <c r="J59" s="8" t="inlineStr">
        <is>
          <t>CFP未发布</t>
        </is>
      </c>
      <c r="K59" s="10" t="inlineStr">
        <is>
          <t>CFP未发布</t>
        </is>
      </c>
      <c r="L59" s="10" t="inlineStr">
        <is>
          <t>CFP未发布</t>
        </is>
      </c>
      <c r="M59" s="10" t="inlineStr">
        <is>
          <t>CFP未发布</t>
        </is>
      </c>
      <c r="N59" s="10" t="inlineStr">
        <is>
          <t>—</t>
        </is>
      </c>
      <c r="O59" s="8" t="inlineStr">
        <is>
          <t>高</t>
        </is>
      </c>
      <c r="P59" s="10" t="inlineStr"/>
    </row>
    <row r="60" ht="30" customHeight="1">
      <c r="A60" s="8" t="n">
        <v>59</v>
      </c>
      <c r="B60" s="9" t="inlineStr">
        <is>
          <t>InterSpeech</t>
        </is>
      </c>
      <c r="C60" s="8" t="inlineStr">
        <is>
          <t>B</t>
        </is>
      </c>
      <c r="D60" s="12" t="inlineStr">
        <is>
          <t>图形学与多媒体</t>
        </is>
      </c>
      <c r="E60" s="8" t="inlineStr">
        <is>
          <t>有专属条款</t>
        </is>
      </c>
      <c r="F60" s="8" t="inlineStr">
        <is>
          <t>有硬性要求</t>
        </is>
      </c>
      <c r="G60" s="10" t="inlineStr">
        <is>
          <t>2 篇（每人一作上限）</t>
        </is>
      </c>
      <c r="H60" s="10" t="inlineStr">
        <is>
          <t>无审稿义务</t>
        </is>
      </c>
      <c r="I60" s="8" t="inlineStr">
        <is>
          <t>2 篇（每人一作上限）</t>
        </is>
      </c>
      <c r="J60" s="8" t="inlineStr">
        <is>
          <t>不强制</t>
        </is>
      </c>
      <c r="K60" s="10" t="inlineStr">
        <is>
          <t>无门槛</t>
        </is>
      </c>
      <c r="L60" s="10" t="inlineStr">
        <is>
          <t>无</t>
        </is>
      </c>
      <c r="M60" s="10" t="inlineStr">
        <is>
          <t>未提及</t>
        </is>
      </c>
      <c r="N60" s="10" t="inlineStr">
        <is>
          <t>https://interspeech2027.org/calls/call_for_papers/</t>
        </is>
      </c>
      <c r="O60" s="8" t="inlineStr">
        <is>
          <t>高</t>
        </is>
      </c>
      <c r="P60" s="10" t="inlineStr">
        <is>
          <t>一作上限对全体作者通用；另设 Long Paper 轨道</t>
        </is>
      </c>
    </row>
    <row r="61" ht="30" customHeight="1">
      <c r="A61" s="8" t="n">
        <v>60</v>
      </c>
      <c r="B61" s="9" t="inlineStr">
        <is>
          <t>SGP</t>
        </is>
      </c>
      <c r="C61" s="8" t="inlineStr">
        <is>
          <t>B</t>
        </is>
      </c>
      <c r="D61" s="12" t="inlineStr">
        <is>
          <t>图形学与多媒体</t>
        </is>
      </c>
      <c r="E61" s="8" t="inlineStr">
        <is>
          <t>CFP未发布</t>
        </is>
      </c>
      <c r="F61" s="8" t="inlineStr">
        <is>
          <t>CFP未发布</t>
        </is>
      </c>
      <c r="G61" s="10" t="inlineStr">
        <is>
          <t>CFP未发布</t>
        </is>
      </c>
      <c r="H61" s="10" t="inlineStr">
        <is>
          <t>CFP未发布</t>
        </is>
      </c>
      <c r="I61" s="8" t="inlineStr">
        <is>
          <t>CFP未发布</t>
        </is>
      </c>
      <c r="J61" s="8" t="inlineStr">
        <is>
          <t>CFP未发布</t>
        </is>
      </c>
      <c r="K61" s="10" t="inlineStr">
        <is>
          <t>CFP未发布</t>
        </is>
      </c>
      <c r="L61" s="10" t="inlineStr">
        <is>
          <t>CFP未发布</t>
        </is>
      </c>
      <c r="M61" s="10" t="inlineStr">
        <is>
          <t>CFP未发布</t>
        </is>
      </c>
      <c r="N61" s="10" t="inlineStr">
        <is>
          <t>—</t>
        </is>
      </c>
      <c r="O61" s="8" t="inlineStr">
        <is>
          <t>高</t>
        </is>
      </c>
      <c r="P61" s="10" t="inlineStr"/>
    </row>
    <row r="62" ht="30" customHeight="1">
      <c r="A62" s="8" t="n">
        <v>61</v>
      </c>
      <c r="B62" s="9" t="inlineStr">
        <is>
          <t>SPM</t>
        </is>
      </c>
      <c r="C62" s="8" t="inlineStr">
        <is>
          <t>B</t>
        </is>
      </c>
      <c r="D62" s="12" t="inlineStr">
        <is>
          <t>图形学与多媒体</t>
        </is>
      </c>
      <c r="E62" s="8" t="inlineStr">
        <is>
          <t>CFP未发布</t>
        </is>
      </c>
      <c r="F62" s="8" t="inlineStr">
        <is>
          <t>CFP未发布</t>
        </is>
      </c>
      <c r="G62" s="10" t="inlineStr">
        <is>
          <t>CFP未发布</t>
        </is>
      </c>
      <c r="H62" s="10" t="inlineStr">
        <is>
          <t>CFP未发布</t>
        </is>
      </c>
      <c r="I62" s="8" t="inlineStr">
        <is>
          <t>CFP未发布</t>
        </is>
      </c>
      <c r="J62" s="8" t="inlineStr">
        <is>
          <t>CFP未发布</t>
        </is>
      </c>
      <c r="K62" s="10" t="inlineStr">
        <is>
          <t>CFP未发布</t>
        </is>
      </c>
      <c r="L62" s="10" t="inlineStr">
        <is>
          <t>CFP未发布</t>
        </is>
      </c>
      <c r="M62" s="10" t="inlineStr">
        <is>
          <t>CFP未发布</t>
        </is>
      </c>
      <c r="N62" s="10" t="inlineStr">
        <is>
          <t>—</t>
        </is>
      </c>
      <c r="O62" s="8" t="inlineStr">
        <is>
          <t>高</t>
        </is>
      </c>
      <c r="P62" s="10" t="inlineStr"/>
    </row>
    <row r="63" ht="30" customHeight="1">
      <c r="A63" s="8" t="n">
        <v>62</v>
      </c>
      <c r="B63" s="9" t="inlineStr">
        <is>
          <t>CADE</t>
        </is>
      </c>
      <c r="C63" s="8" t="inlineStr">
        <is>
          <t>B</t>
        </is>
      </c>
      <c r="D63" s="12" t="inlineStr">
        <is>
          <t>计算机科学理论</t>
        </is>
      </c>
      <c r="E63" s="8" t="inlineStr">
        <is>
          <t>有专属条款</t>
        </is>
      </c>
      <c r="F63" s="8" t="inlineStr">
        <is>
          <t>只有利好通道</t>
        </is>
      </c>
      <c r="G63" s="10" t="inlineStr">
        <is>
          <t>不限</t>
        </is>
      </c>
      <c r="H63" s="10" t="inlineStr">
        <is>
          <t>无审稿义务</t>
        </is>
      </c>
      <c r="I63" s="8" t="inlineStr">
        <is>
          <t>无</t>
        </is>
      </c>
      <c r="J63" s="8" t="inlineStr">
        <is>
          <t>不强制</t>
        </is>
      </c>
      <c r="K63" s="10" t="inlineStr">
        <is>
          <t>无门槛</t>
        </is>
      </c>
      <c r="L63" s="10" t="inlineStr">
        <is>
          <t>最佳学生论文奖</t>
        </is>
      </c>
      <c r="M63" s="10" t="inlineStr">
        <is>
          <t>未提及</t>
        </is>
      </c>
      <c r="N63" s="10" t="inlineStr">
        <is>
          <t>https://fscd-cade.science.ru.nl/calls/papers-cade</t>
        </is>
      </c>
      <c r="O63" s="8" t="inlineStr">
        <is>
          <t>高</t>
        </is>
      </c>
      <c r="P63" s="10" t="inlineStr">
        <is>
          <t>学生奖要求至少一位作者为学生身份</t>
        </is>
      </c>
    </row>
    <row r="64" ht="30" customHeight="1">
      <c r="A64" s="8" t="n">
        <v>63</v>
      </c>
      <c r="B64" s="9" t="inlineStr">
        <is>
          <t>CCC</t>
        </is>
      </c>
      <c r="C64" s="8" t="inlineStr">
        <is>
          <t>B</t>
        </is>
      </c>
      <c r="D64" s="12" t="inlineStr">
        <is>
          <t>计算机科学理论</t>
        </is>
      </c>
      <c r="E64" s="8" t="inlineStr">
        <is>
          <t>CFP未发布</t>
        </is>
      </c>
      <c r="F64" s="8" t="inlineStr">
        <is>
          <t>CFP未发布</t>
        </is>
      </c>
      <c r="G64" s="10" t="inlineStr">
        <is>
          <t>不限</t>
        </is>
      </c>
      <c r="H64" s="10" t="inlineStr">
        <is>
          <t>未找到</t>
        </is>
      </c>
      <c r="I64" s="8" t="inlineStr">
        <is>
          <t>未找到</t>
        </is>
      </c>
      <c r="J64" s="8" t="inlineStr">
        <is>
          <t>待确认</t>
        </is>
      </c>
      <c r="K64" s="10" t="inlineStr">
        <is>
          <t>未找到</t>
        </is>
      </c>
      <c r="L64" s="10" t="inlineStr">
        <is>
          <t>未找到</t>
        </is>
      </c>
      <c r="M64" s="10" t="inlineStr">
        <is>
          <t>未找到</t>
        </is>
      </c>
      <c r="N64" s="10" t="inlineStr">
        <is>
          <t>—</t>
        </is>
      </c>
      <c r="O64" s="8" t="inlineStr">
        <is>
          <t>低</t>
        </is>
      </c>
      <c r="P64" s="10" t="inlineStr">
        <is>
          <t>2027 CFP 未发布，A-F 类条款无从判定</t>
        </is>
      </c>
    </row>
    <row r="65" ht="30" customHeight="1">
      <c r="A65" s="8" t="n">
        <v>64</v>
      </c>
      <c r="B65" s="9" t="inlineStr">
        <is>
          <t>HSCC</t>
        </is>
      </c>
      <c r="C65" s="8" t="inlineStr">
        <is>
          <t>B</t>
        </is>
      </c>
      <c r="D65" s="12" t="inlineStr">
        <is>
          <t>计算机科学理论</t>
        </is>
      </c>
      <c r="E65" s="8" t="inlineStr">
        <is>
          <t>未找到</t>
        </is>
      </c>
      <c r="F65" s="8" t="inlineStr">
        <is>
          <t>未找到</t>
        </is>
      </c>
      <c r="G65" s="10" t="inlineStr">
        <is>
          <t>不限</t>
        </is>
      </c>
      <c r="H65" s="10" t="inlineStr">
        <is>
          <t>未找到</t>
        </is>
      </c>
      <c r="I65" s="8" t="inlineStr">
        <is>
          <t>未找到</t>
        </is>
      </c>
      <c r="J65" s="8" t="inlineStr">
        <is>
          <t>待确认</t>
        </is>
      </c>
      <c r="K65" s="10" t="inlineStr">
        <is>
          <t>未找到</t>
        </is>
      </c>
      <c r="L65" s="10" t="inlineStr">
        <is>
          <t>未找到</t>
        </is>
      </c>
      <c r="M65" s="10" t="inlineStr">
        <is>
          <t>未找到</t>
        </is>
      </c>
      <c r="N65" s="10" t="inlineStr">
        <is>
          <t>https://hscc.acm.org/2027/</t>
        </is>
      </c>
      <c r="O65" s="8" t="inlineStr">
        <is>
          <t>低</t>
        </is>
      </c>
      <c r="P65" s="10" t="inlineStr">
        <is>
          <t>已并入 HSCC+ICCPS'27 合并站，无 Authors 条款页</t>
        </is>
      </c>
    </row>
    <row r="66" ht="30" customHeight="1">
      <c r="A66" s="8" t="n">
        <v>65</v>
      </c>
      <c r="B66" s="9" t="inlineStr">
        <is>
          <t>ICALP</t>
        </is>
      </c>
      <c r="C66" s="8" t="inlineStr">
        <is>
          <t>B</t>
        </is>
      </c>
      <c r="D66" s="12" t="inlineStr">
        <is>
          <t>计算机科学理论</t>
        </is>
      </c>
      <c r="E66" s="8" t="inlineStr">
        <is>
          <t>CFP未发布</t>
        </is>
      </c>
      <c r="F66" s="8" t="inlineStr">
        <is>
          <t>CFP未发布</t>
        </is>
      </c>
      <c r="G66" s="10" t="inlineStr">
        <is>
          <t>不限</t>
        </is>
      </c>
      <c r="H66" s="10" t="inlineStr">
        <is>
          <t>未找到</t>
        </is>
      </c>
      <c r="I66" s="8" t="inlineStr">
        <is>
          <t>未找到</t>
        </is>
      </c>
      <c r="J66" s="8" t="inlineStr">
        <is>
          <t>待确认</t>
        </is>
      </c>
      <c r="K66" s="10" t="inlineStr">
        <is>
          <t>未找到</t>
        </is>
      </c>
      <c r="L66" s="10" t="inlineStr">
        <is>
          <t>未找到</t>
        </is>
      </c>
      <c r="M66" s="10" t="inlineStr">
        <is>
          <t>未找到</t>
        </is>
      </c>
      <c r="N66" s="10" t="inlineStr">
        <is>
          <t>—</t>
        </is>
      </c>
      <c r="O66" s="8" t="inlineStr">
        <is>
          <t>低</t>
        </is>
      </c>
      <c r="P66" s="10" t="inlineStr">
        <is>
          <t>2027 CFP 未发布，A-F 类条款无从判定</t>
        </is>
      </c>
    </row>
    <row r="67" ht="30" customHeight="1">
      <c r="A67" s="8" t="n">
        <v>66</v>
      </c>
      <c r="B67" s="9" t="inlineStr">
        <is>
          <t>SOCG</t>
        </is>
      </c>
      <c r="C67" s="8" t="inlineStr">
        <is>
          <t>B</t>
        </is>
      </c>
      <c r="D67" s="12" t="inlineStr">
        <is>
          <t>计算机科学理论</t>
        </is>
      </c>
      <c r="E67" s="8" t="inlineStr">
        <is>
          <t>CFP未发布</t>
        </is>
      </c>
      <c r="F67" s="8" t="inlineStr">
        <is>
          <t>CFP未发布</t>
        </is>
      </c>
      <c r="G67" s="10" t="inlineStr">
        <is>
          <t>不限</t>
        </is>
      </c>
      <c r="H67" s="10" t="inlineStr">
        <is>
          <t>未找到</t>
        </is>
      </c>
      <c r="I67" s="8" t="inlineStr">
        <is>
          <t>未找到</t>
        </is>
      </c>
      <c r="J67" s="8" t="inlineStr">
        <is>
          <t>待确认</t>
        </is>
      </c>
      <c r="K67" s="10" t="inlineStr">
        <is>
          <t>未找到</t>
        </is>
      </c>
      <c r="L67" s="10" t="inlineStr">
        <is>
          <t>未找到</t>
        </is>
      </c>
      <c r="M67" s="10" t="inlineStr">
        <is>
          <t>未找到</t>
        </is>
      </c>
      <c r="N67" s="10" t="inlineStr">
        <is>
          <t>—</t>
        </is>
      </c>
      <c r="O67" s="8" t="inlineStr">
        <is>
          <t>低</t>
        </is>
      </c>
      <c r="P67" s="10" t="inlineStr">
        <is>
          <t>2027 CFP 未发布，A-F 类条款无从判定</t>
        </is>
      </c>
    </row>
    <row r="68" ht="30" customHeight="1">
      <c r="A68" s="8" t="n">
        <v>67</v>
      </c>
      <c r="B68" s="9" t="inlineStr">
        <is>
          <t>CIDR</t>
        </is>
      </c>
      <c r="C68" s="8" t="inlineStr">
        <is>
          <t>B</t>
        </is>
      </c>
      <c r="D68" s="12" t="inlineStr">
        <is>
          <t>数据库/数据挖掘</t>
        </is>
      </c>
      <c r="E68" s="8" t="inlineStr">
        <is>
          <t>有专属条款</t>
        </is>
      </c>
      <c r="F68" s="8" t="inlineStr">
        <is>
          <t>有硬性要求</t>
        </is>
      </c>
      <c r="G68" s="10" t="inlineStr">
        <is>
          <t>1 篇/届</t>
        </is>
      </c>
      <c r="H68" s="10" t="inlineStr">
        <is>
          <t>无审稿义务</t>
        </is>
      </c>
      <c r="I68" s="8" t="inlineStr">
        <is>
          <t>1 篇（每位作者上限）</t>
        </is>
      </c>
      <c r="J68" s="8" t="inlineStr">
        <is>
          <t>不强制</t>
        </is>
      </c>
      <c r="K68" s="10" t="inlineStr">
        <is>
          <t>无门槛</t>
        </is>
      </c>
      <c r="L68" s="10" t="inlineStr">
        <is>
          <t>无</t>
        </is>
      </c>
      <c r="M68" s="10" t="inlineStr">
        <is>
          <t>未提及</t>
        </is>
      </c>
      <c r="N68" s="10" t="inlineStr">
        <is>
          <t>https://www.cidrdb.org/cidr2027/</t>
        </is>
      </c>
      <c r="O68" s="8" t="inlineStr">
        <is>
          <t>高</t>
        </is>
      </c>
      <c r="P68" s="10" t="inlineStr">
        <is>
          <t>官网明示作者最多提交 1 篇</t>
        </is>
      </c>
    </row>
    <row r="69" ht="30" customHeight="1">
      <c r="A69" s="8" t="n">
        <v>68</v>
      </c>
      <c r="B69" s="9" t="inlineStr">
        <is>
          <t>DASFAA</t>
        </is>
      </c>
      <c r="C69" s="8" t="inlineStr">
        <is>
          <t>B</t>
        </is>
      </c>
      <c r="D69" s="12" t="inlineStr">
        <is>
          <t>数据库/数据挖掘</t>
        </is>
      </c>
      <c r="E69" s="8" t="inlineStr">
        <is>
          <t>有专属条款</t>
        </is>
      </c>
      <c r="F69" s="8" t="inlineStr">
        <is>
          <t>只有利好通道</t>
        </is>
      </c>
      <c r="G69" s="10" t="inlineStr">
        <is>
          <t>不限</t>
        </is>
      </c>
      <c r="H69" s="10" t="inlineStr">
        <is>
          <t>无审稿义务</t>
        </is>
      </c>
      <c r="I69" s="8" t="inlineStr">
        <is>
          <t>无</t>
        </is>
      </c>
      <c r="J69" s="8" t="inlineStr">
        <is>
          <t>不强制</t>
        </is>
      </c>
      <c r="K69" s="10" t="inlineStr">
        <is>
          <t>无门槛</t>
        </is>
      </c>
      <c r="L69" s="10" t="inlineStr">
        <is>
          <t>Ph.D. Forum, Teen Research Track</t>
        </is>
      </c>
      <c r="M69" s="10" t="inlineStr">
        <is>
          <t>未提及</t>
        </is>
      </c>
      <c r="N69" s="10" t="inlineStr">
        <is>
          <t>https://dasfaa2027.github.io/</t>
        </is>
      </c>
      <c r="O69" s="8" t="inlineStr">
        <is>
          <t>中</t>
        </is>
      </c>
      <c r="P69" s="10" t="inlineStr">
        <is>
          <t>首页日期表列 Ph.D. Forum 与学生向赛道</t>
        </is>
      </c>
    </row>
    <row r="70" ht="30" customHeight="1">
      <c r="A70" s="8" t="n">
        <v>69</v>
      </c>
      <c r="B70" s="9" t="inlineStr">
        <is>
          <t>ECML-PKDD</t>
        </is>
      </c>
      <c r="C70" s="8" t="inlineStr">
        <is>
          <t>B</t>
        </is>
      </c>
      <c r="D70" s="12" t="inlineStr">
        <is>
          <t>数据库/数据挖掘</t>
        </is>
      </c>
      <c r="E70" s="8" t="inlineStr">
        <is>
          <t>CFP未发布</t>
        </is>
      </c>
      <c r="F70" s="8" t="inlineStr">
        <is>
          <t>CFP未发布</t>
        </is>
      </c>
      <c r="G70" s="10" t="inlineStr">
        <is>
          <t>不限</t>
        </is>
      </c>
      <c r="H70" s="10" t="inlineStr">
        <is>
          <t>未找到</t>
        </is>
      </c>
      <c r="I70" s="8" t="inlineStr">
        <is>
          <t>未找到</t>
        </is>
      </c>
      <c r="J70" s="8" t="inlineStr">
        <is>
          <t>待确认</t>
        </is>
      </c>
      <c r="K70" s="10" t="inlineStr">
        <is>
          <t>未找到</t>
        </is>
      </c>
      <c r="L70" s="10" t="inlineStr">
        <is>
          <t>未找到</t>
        </is>
      </c>
      <c r="M70" s="10" t="inlineStr">
        <is>
          <t>未找到</t>
        </is>
      </c>
      <c r="N70" s="10" t="inlineStr">
        <is>
          <t>—</t>
        </is>
      </c>
      <c r="O70" s="8" t="inlineStr">
        <is>
          <t>低</t>
        </is>
      </c>
      <c r="P70" s="10" t="inlineStr">
        <is>
          <t>2027 CFP 未发布，A-F 类条款无从判定</t>
        </is>
      </c>
    </row>
    <row r="71" ht="30" customHeight="1">
      <c r="A71" s="8" t="n">
        <v>70</v>
      </c>
      <c r="B71" s="9" t="inlineStr">
        <is>
          <t>EDBT</t>
        </is>
      </c>
      <c r="C71" s="8" t="inlineStr">
        <is>
          <t>B</t>
        </is>
      </c>
      <c r="D71" s="12" t="inlineStr">
        <is>
          <t>数据库/数据挖掘</t>
        </is>
      </c>
      <c r="E71" s="8" t="inlineStr">
        <is>
          <t>CFP未发布</t>
        </is>
      </c>
      <c r="F71" s="8" t="inlineStr">
        <is>
          <t>CFP未发布</t>
        </is>
      </c>
      <c r="G71" s="10" t="inlineStr">
        <is>
          <t>不限</t>
        </is>
      </c>
      <c r="H71" s="10" t="inlineStr">
        <is>
          <t>未找到</t>
        </is>
      </c>
      <c r="I71" s="8" t="inlineStr">
        <is>
          <t>未找到</t>
        </is>
      </c>
      <c r="J71" s="8" t="inlineStr">
        <is>
          <t>待确认</t>
        </is>
      </c>
      <c r="K71" s="10" t="inlineStr">
        <is>
          <t>未找到</t>
        </is>
      </c>
      <c r="L71" s="10" t="inlineStr">
        <is>
          <t>未找到</t>
        </is>
      </c>
      <c r="M71" s="10" t="inlineStr">
        <is>
          <t>未找到</t>
        </is>
      </c>
      <c r="N71" s="10" t="inlineStr">
        <is>
          <t>—</t>
        </is>
      </c>
      <c r="O71" s="8" t="inlineStr">
        <is>
          <t>低</t>
        </is>
      </c>
      <c r="P71" s="10" t="inlineStr">
        <is>
          <t>2027 CFP 未发布，A-F 类条款无从判定</t>
        </is>
      </c>
    </row>
    <row r="72" ht="30" customHeight="1">
      <c r="A72" s="8" t="n">
        <v>71</v>
      </c>
      <c r="B72" s="9" t="inlineStr">
        <is>
          <t>ICDM</t>
        </is>
      </c>
      <c r="C72" s="8" t="inlineStr">
        <is>
          <t>B</t>
        </is>
      </c>
      <c r="D72" s="12" t="inlineStr">
        <is>
          <t>数据库/数据挖掘</t>
        </is>
      </c>
      <c r="E72" s="8" t="inlineStr">
        <is>
          <t>未找到</t>
        </is>
      </c>
      <c r="F72" s="8" t="inlineStr">
        <is>
          <t>未找到</t>
        </is>
      </c>
      <c r="G72" s="10" t="inlineStr">
        <is>
          <t>不限</t>
        </is>
      </c>
      <c r="H72" s="10" t="inlineStr">
        <is>
          <t>未找到</t>
        </is>
      </c>
      <c r="I72" s="8" t="inlineStr">
        <is>
          <t>未找到</t>
        </is>
      </c>
      <c r="J72" s="8" t="inlineStr">
        <is>
          <t>待确认</t>
        </is>
      </c>
      <c r="K72" s="10" t="inlineStr">
        <is>
          <t>未找到</t>
        </is>
      </c>
      <c r="L72" s="10" t="inlineStr">
        <is>
          <t>未找到</t>
        </is>
      </c>
      <c r="M72" s="10" t="inlineStr">
        <is>
          <t>未找到</t>
        </is>
      </c>
      <c r="N72" s="10" t="inlineStr">
        <is>
          <t>https://icdm2027-website.onrender.com/</t>
        </is>
      </c>
      <c r="O72" s="8" t="inlineStr">
        <is>
          <t>低</t>
        </is>
      </c>
      <c r="P72" s="10" t="inlineStr">
        <is>
          <t>首页仅简介与日期，CFP 细则页未抓取</t>
        </is>
      </c>
    </row>
    <row r="73" ht="30" customHeight="1">
      <c r="A73" s="8" t="n">
        <v>72</v>
      </c>
      <c r="B73" s="9" t="inlineStr">
        <is>
          <t>ICDT</t>
        </is>
      </c>
      <c r="C73" s="8" t="inlineStr">
        <is>
          <t>B</t>
        </is>
      </c>
      <c r="D73" s="12" t="inlineStr">
        <is>
          <t>数据库/数据挖掘</t>
        </is>
      </c>
      <c r="E73" s="8" t="inlineStr">
        <is>
          <t>CFP未发布</t>
        </is>
      </c>
      <c r="F73" s="8" t="inlineStr">
        <is>
          <t>CFP未发布</t>
        </is>
      </c>
      <c r="G73" s="10" t="inlineStr">
        <is>
          <t>不限</t>
        </is>
      </c>
      <c r="H73" s="10" t="inlineStr">
        <is>
          <t>未找到</t>
        </is>
      </c>
      <c r="I73" s="8" t="inlineStr">
        <is>
          <t>未找到</t>
        </is>
      </c>
      <c r="J73" s="8" t="inlineStr">
        <is>
          <t>待确认</t>
        </is>
      </c>
      <c r="K73" s="10" t="inlineStr">
        <is>
          <t>未找到</t>
        </is>
      </c>
      <c r="L73" s="10" t="inlineStr">
        <is>
          <t>未找到</t>
        </is>
      </c>
      <c r="M73" s="10" t="inlineStr">
        <is>
          <t>未找到</t>
        </is>
      </c>
      <c r="N73" s="10" t="inlineStr">
        <is>
          <t>—</t>
        </is>
      </c>
      <c r="O73" s="8" t="inlineStr">
        <is>
          <t>低</t>
        </is>
      </c>
      <c r="P73" s="10" t="inlineStr">
        <is>
          <t>2027 CFP 未发布，A-F 类条款无从判定</t>
        </is>
      </c>
    </row>
    <row r="74" ht="30" customHeight="1">
      <c r="A74" s="8" t="n">
        <v>73</v>
      </c>
      <c r="B74" s="9" t="inlineStr">
        <is>
          <t>PODS</t>
        </is>
      </c>
      <c r="C74" s="8" t="inlineStr">
        <is>
          <t>B</t>
        </is>
      </c>
      <c r="D74" s="12" t="inlineStr">
        <is>
          <t>数据库/数据挖掘</t>
        </is>
      </c>
      <c r="E74" s="8" t="inlineStr">
        <is>
          <t>未找到</t>
        </is>
      </c>
      <c r="F74" s="8" t="inlineStr">
        <is>
          <t>未找到</t>
        </is>
      </c>
      <c r="G74" s="10" t="inlineStr">
        <is>
          <t>不限</t>
        </is>
      </c>
      <c r="H74" s="10" t="inlineStr">
        <is>
          <t>未找到</t>
        </is>
      </c>
      <c r="I74" s="8" t="inlineStr">
        <is>
          <t>未找到</t>
        </is>
      </c>
      <c r="J74" s="8" t="inlineStr">
        <is>
          <t>待确认</t>
        </is>
      </c>
      <c r="K74" s="10" t="inlineStr">
        <is>
          <t>未找到</t>
        </is>
      </c>
      <c r="L74" s="10" t="inlineStr">
        <is>
          <t>未找到</t>
        </is>
      </c>
      <c r="M74" s="10" t="inlineStr">
        <is>
          <t>未找到</t>
        </is>
      </c>
      <c r="N74" s="10" t="inlineStr">
        <is>
          <t>https://2027.sigmod.org/calls_papers_important_dates.shtml</t>
        </is>
      </c>
      <c r="O74" s="8" t="inlineStr">
        <is>
          <t>低</t>
        </is>
      </c>
      <c r="P74" s="10" t="inlineStr">
        <is>
          <t>仅读到重要日期页，未见作者条款页</t>
        </is>
      </c>
    </row>
    <row r="75" ht="30" customHeight="1">
      <c r="A75" s="8" t="n">
        <v>74</v>
      </c>
      <c r="B75" s="9" t="inlineStr">
        <is>
          <t>RecSys</t>
        </is>
      </c>
      <c r="C75" s="8" t="inlineStr">
        <is>
          <t>B</t>
        </is>
      </c>
      <c r="D75" s="12" t="inlineStr">
        <is>
          <t>数据库/数据挖掘</t>
        </is>
      </c>
      <c r="E75" s="8" t="inlineStr">
        <is>
          <t>CFP未发布</t>
        </is>
      </c>
      <c r="F75" s="8" t="inlineStr">
        <is>
          <t>CFP未发布</t>
        </is>
      </c>
      <c r="G75" s="10" t="inlineStr">
        <is>
          <t>不限</t>
        </is>
      </c>
      <c r="H75" s="10" t="inlineStr">
        <is>
          <t>未找到</t>
        </is>
      </c>
      <c r="I75" s="8" t="inlineStr">
        <is>
          <t>未找到</t>
        </is>
      </c>
      <c r="J75" s="8" t="inlineStr">
        <is>
          <t>待确认</t>
        </is>
      </c>
      <c r="K75" s="10" t="inlineStr">
        <is>
          <t>未找到</t>
        </is>
      </c>
      <c r="L75" s="10" t="inlineStr">
        <is>
          <t>未找到</t>
        </is>
      </c>
      <c r="M75" s="10" t="inlineStr">
        <is>
          <t>未找到</t>
        </is>
      </c>
      <c r="N75" s="10" t="inlineStr">
        <is>
          <t>—</t>
        </is>
      </c>
      <c r="O75" s="8" t="inlineStr">
        <is>
          <t>低</t>
        </is>
      </c>
      <c r="P75" s="10" t="inlineStr">
        <is>
          <t>2027 CFP 未发布，A-F 类条款无从判定</t>
        </is>
      </c>
    </row>
    <row r="76" ht="30" customHeight="1">
      <c r="A76" s="8" t="n">
        <v>75</v>
      </c>
      <c r="B76" s="9" t="inlineStr">
        <is>
          <t>WSDM</t>
        </is>
      </c>
      <c r="C76" s="8" t="inlineStr">
        <is>
          <t>B</t>
        </is>
      </c>
      <c r="D76" s="12" t="inlineStr">
        <is>
          <t>数据库/数据挖掘</t>
        </is>
      </c>
      <c r="E76" s="8" t="inlineStr">
        <is>
          <t>有专属条款</t>
        </is>
      </c>
      <c r="F76" s="8" t="inlineStr">
        <is>
          <t>有硬性要求</t>
        </is>
      </c>
      <c r="G76" s="10" t="inlineStr">
        <is>
          <t>10 篇/届</t>
        </is>
      </c>
      <c r="H76" s="10" t="inlineStr">
        <is>
          <t>无审稿义务</t>
        </is>
      </c>
      <c r="I76" s="8" t="inlineStr">
        <is>
          <t>10 篇（每作者全文上限）</t>
        </is>
      </c>
      <c r="J76" s="8" t="inlineStr">
        <is>
          <t>不强制</t>
        </is>
      </c>
      <c r="K76" s="10" t="inlineStr">
        <is>
          <t>无门槛</t>
        </is>
      </c>
      <c r="L76" s="10" t="inlineStr">
        <is>
          <t>Doctoral Consortium</t>
        </is>
      </c>
      <c r="M76" s="10" t="inlineStr">
        <is>
          <t>未提及</t>
        </is>
      </c>
      <c r="N76" s="10" t="inlineStr">
        <is>
          <t>https://wsdm-conference.org/2027/cffp.html</t>
        </is>
      </c>
      <c r="O76" s="8" t="inlineStr">
        <is>
          <t>高</t>
        </is>
      </c>
      <c r="P76" s="10" t="inlineStr">
        <is>
          <t>配额为全体作者通用；DC 见 cfdc.html</t>
        </is>
      </c>
    </row>
    <row r="77" ht="30" customHeight="1">
      <c r="A77" s="8" t="n">
        <v>76</v>
      </c>
      <c r="B77" s="9" t="inlineStr">
        <is>
          <t>DATE</t>
        </is>
      </c>
      <c r="C77" s="8" t="inlineStr">
        <is>
          <t>B</t>
        </is>
      </c>
      <c r="D77" s="12" t="inlineStr">
        <is>
          <t>体系结构/并行/存储</t>
        </is>
      </c>
      <c r="E77" s="8" t="inlineStr">
        <is>
          <t>有专属条款</t>
        </is>
      </c>
      <c r="F77" s="8" t="inlineStr">
        <is>
          <t>只有利好通道</t>
        </is>
      </c>
      <c r="G77" s="10" t="inlineStr">
        <is>
          <t>不限</t>
        </is>
      </c>
      <c r="H77" s="10" t="inlineStr">
        <is>
          <t>无审稿义务</t>
        </is>
      </c>
      <c r="I77" s="8" t="inlineStr">
        <is>
          <t>无</t>
        </is>
      </c>
      <c r="J77" s="8" t="inlineStr">
        <is>
          <t>不强制</t>
        </is>
      </c>
      <c r="K77" s="10" t="inlineStr">
        <is>
          <t>无门槛</t>
        </is>
      </c>
      <c r="L77" s="10" t="inlineStr">
        <is>
          <t>Young People Programme：PhD Forum、Student Teams Fair、University Fair、Career Fair、Mentoring</t>
        </is>
      </c>
      <c r="M77" s="10" t="inlineStr">
        <is>
          <t>未提及</t>
        </is>
      </c>
      <c r="N77" s="10" t="inlineStr">
        <is>
          <t>https://www.date-conference.com/DATE2027-Call-for-Papers.pdf</t>
        </is>
      </c>
      <c r="O77" s="8" t="inlineStr">
        <is>
          <t>高</t>
        </is>
      </c>
      <c r="P77" s="10" t="inlineStr">
        <is>
          <t>YPP 专设青年研究者与学生通道</t>
        </is>
      </c>
    </row>
    <row r="78" ht="30" customHeight="1">
      <c r="A78" s="8" t="n">
        <v>77</v>
      </c>
      <c r="B78" s="9" t="inlineStr">
        <is>
          <t>FPGA</t>
        </is>
      </c>
      <c r="C78" s="8" t="inlineStr">
        <is>
          <t>B</t>
        </is>
      </c>
      <c r="D78" s="12" t="inlineStr">
        <is>
          <t>体系结构/并行/存储</t>
        </is>
      </c>
      <c r="E78" s="8" t="inlineStr">
        <is>
          <t>无专属条款</t>
        </is>
      </c>
      <c r="F78" s="8" t="inlineStr">
        <is>
          <t>无</t>
        </is>
      </c>
      <c r="G78" s="10" t="inlineStr">
        <is>
          <t>不限</t>
        </is>
      </c>
      <c r="H78" s="10" t="inlineStr">
        <is>
          <t>无审稿义务</t>
        </is>
      </c>
      <c r="I78" s="8" t="inlineStr">
        <is>
          <t>无</t>
        </is>
      </c>
      <c r="J78" s="8" t="inlineStr">
        <is>
          <t>不强制</t>
        </is>
      </c>
      <c r="K78" s="10" t="inlineStr">
        <is>
          <t>无门槛</t>
        </is>
      </c>
      <c r="L78" s="10" t="inlineStr">
        <is>
          <t>无</t>
        </is>
      </c>
      <c r="M78" s="10" t="inlineStr">
        <is>
          <t>未提及</t>
        </is>
      </c>
      <c r="N78" s="10" t="inlineStr">
        <is>
          <t>https://www.isfpga.org/call-for-papers/</t>
        </is>
      </c>
      <c r="O78" s="8" t="inlineStr">
        <is>
          <t>高</t>
        </is>
      </c>
      <c r="P78" s="10" t="inlineStr">
        <is>
          <t>仅篇幅限制（长文10页/短文6页）</t>
        </is>
      </c>
    </row>
    <row r="79" ht="30" customHeight="1">
      <c r="A79" s="8" t="n">
        <v>78</v>
      </c>
      <c r="B79" s="9" t="inlineStr">
        <is>
          <t>HiPEAC</t>
        </is>
      </c>
      <c r="C79" s="8" t="inlineStr">
        <is>
          <t>B</t>
        </is>
      </c>
      <c r="D79" s="12" t="inlineStr">
        <is>
          <t>体系结构/并行/存储</t>
        </is>
      </c>
      <c r="E79" s="8" t="inlineStr">
        <is>
          <t>无专属条款</t>
        </is>
      </c>
      <c r="F79" s="8" t="inlineStr">
        <is>
          <t>无</t>
        </is>
      </c>
      <c r="G79" s="10" t="inlineStr">
        <is>
          <t>不限</t>
        </is>
      </c>
      <c r="H79" s="10" t="inlineStr">
        <is>
          <t>无审稿义务</t>
        </is>
      </c>
      <c r="I79" s="8" t="inlineStr">
        <is>
          <t>无</t>
        </is>
      </c>
      <c r="J79" s="8" t="inlineStr">
        <is>
          <t>不强制</t>
        </is>
      </c>
      <c r="K79" s="10" t="inlineStr">
        <is>
          <t>无门槛</t>
        </is>
      </c>
      <c r="L79" s="10" t="inlineStr">
        <is>
          <t>无</t>
        </is>
      </c>
      <c r="M79" s="10" t="inlineStr">
        <is>
          <t>未提及</t>
        </is>
      </c>
      <c r="N79" s="10" t="inlineStr">
        <is>
          <t>https://www.hipeac.net/2027/glasgow/</t>
        </is>
      </c>
      <c r="O79" s="8" t="inlineStr">
        <is>
          <t>高</t>
        </is>
      </c>
      <c r="P79" s="10" t="inlineStr">
        <is>
          <t>journal-first，投稿走 ACM TACO，会议无直接投稿</t>
        </is>
      </c>
    </row>
    <row r="80" ht="30" customHeight="1">
      <c r="A80" s="8" t="n">
        <v>79</v>
      </c>
      <c r="B80" s="9" t="inlineStr">
        <is>
          <t>ICDCS</t>
        </is>
      </c>
      <c r="C80" s="8" t="inlineStr">
        <is>
          <t>B</t>
        </is>
      </c>
      <c r="D80" s="12" t="inlineStr">
        <is>
          <t>体系结构/并行/存储</t>
        </is>
      </c>
      <c r="E80" s="8" t="inlineStr">
        <is>
          <t>CFP未发布</t>
        </is>
      </c>
      <c r="F80" s="8" t="inlineStr">
        <is>
          <t>CFP未发布</t>
        </is>
      </c>
      <c r="G80" s="10" t="inlineStr">
        <is>
          <t>不限</t>
        </is>
      </c>
      <c r="H80" s="10" t="inlineStr">
        <is>
          <t>未找到</t>
        </is>
      </c>
      <c r="I80" s="8" t="inlineStr">
        <is>
          <t>未找到</t>
        </is>
      </c>
      <c r="J80" s="8" t="inlineStr">
        <is>
          <t>待确认</t>
        </is>
      </c>
      <c r="K80" s="10" t="inlineStr">
        <is>
          <t>未找到</t>
        </is>
      </c>
      <c r="L80" s="10" t="inlineStr">
        <is>
          <t>未找到</t>
        </is>
      </c>
      <c r="M80" s="10" t="inlineStr">
        <is>
          <t>未找到</t>
        </is>
      </c>
      <c r="N80" s="10" t="inlineStr">
        <is>
          <t>—</t>
        </is>
      </c>
      <c r="O80" s="8" t="inlineStr">
        <is>
          <t>低</t>
        </is>
      </c>
      <c r="P80" s="10" t="inlineStr">
        <is>
          <t>2027 CFP 未发布，A-F 类条款无从判定</t>
        </is>
      </c>
    </row>
    <row r="81" ht="30" customHeight="1">
      <c r="A81" s="8" t="n">
        <v>80</v>
      </c>
      <c r="B81" s="9" t="inlineStr">
        <is>
          <t>ICS</t>
        </is>
      </c>
      <c r="C81" s="8" t="inlineStr">
        <is>
          <t>B</t>
        </is>
      </c>
      <c r="D81" s="12" t="inlineStr">
        <is>
          <t>体系结构/并行/存储</t>
        </is>
      </c>
      <c r="E81" s="8" t="inlineStr">
        <is>
          <t>有专属条款</t>
        </is>
      </c>
      <c r="F81" s="8" t="inlineStr">
        <is>
          <t>有硬性要求</t>
        </is>
      </c>
      <c r="G81" s="10" t="inlineStr">
        <is>
          <t>不限</t>
        </is>
      </c>
      <c r="H81" s="10" t="inlineStr">
        <is>
          <t>无审稿义务（Junior PC 自愿自荐）</t>
        </is>
      </c>
      <c r="I81" s="8" t="inlineStr">
        <is>
          <t>无</t>
        </is>
      </c>
      <c r="J81" s="8" t="inlineStr">
        <is>
          <t>不强制</t>
        </is>
      </c>
      <c r="K81" s="10" t="inlineStr">
        <is>
          <t>无门槛</t>
        </is>
      </c>
      <c r="L81" s="10" t="inlineStr">
        <is>
          <t>Junior Program Committee</t>
        </is>
      </c>
      <c r="M81" s="10" t="inlineStr">
        <is>
          <t>未提及</t>
        </is>
      </c>
      <c r="N81" s="10" t="inlineStr">
        <is>
          <t>https://klab-ai3.github.io/ics2027/calls-cfp.html</t>
        </is>
      </c>
      <c r="O81" s="8" t="inlineStr">
        <is>
          <t>高</t>
        </is>
      </c>
      <c r="P81" s="10" t="inlineStr">
        <is>
          <t>JPC 首届，面向高年级博士生与博士后</t>
        </is>
      </c>
    </row>
    <row r="82" ht="30" customHeight="1">
      <c r="A82" s="8" t="n">
        <v>81</v>
      </c>
      <c r="B82" s="9" t="inlineStr">
        <is>
          <t>IEEE/ACM CGO</t>
        </is>
      </c>
      <c r="C82" s="8" t="inlineStr">
        <is>
          <t>B</t>
        </is>
      </c>
      <c r="D82" s="12" t="inlineStr">
        <is>
          <t>体系结构/并行/存储</t>
        </is>
      </c>
      <c r="E82" s="8" t="inlineStr">
        <is>
          <t>未找到</t>
        </is>
      </c>
      <c r="F82" s="8" t="inlineStr">
        <is>
          <t>未找到</t>
        </is>
      </c>
      <c r="G82" s="10" t="inlineStr">
        <is>
          <t>不限</t>
        </is>
      </c>
      <c r="H82" s="10" t="inlineStr">
        <is>
          <t>未找到</t>
        </is>
      </c>
      <c r="I82" s="8" t="inlineStr">
        <is>
          <t>未找到</t>
        </is>
      </c>
      <c r="J82" s="8" t="inlineStr">
        <is>
          <t>待确认</t>
        </is>
      </c>
      <c r="K82" s="10" t="inlineStr">
        <is>
          <t>未找到</t>
        </is>
      </c>
      <c r="L82" s="10" t="inlineStr">
        <is>
          <t>未找到</t>
        </is>
      </c>
      <c r="M82" s="10" t="inlineStr">
        <is>
          <t>未找到</t>
        </is>
      </c>
      <c r="N82" s="10" t="inlineStr">
        <is>
          <t>https://2027.cgo.org/dates</t>
        </is>
      </c>
      <c r="O82" s="8" t="inlineStr">
        <is>
          <t>低</t>
        </is>
      </c>
      <c r="P82" s="10" t="inlineStr">
        <is>
          <t>只读到关键日期与首页，未见作者政策页</t>
        </is>
      </c>
    </row>
    <row r="83" ht="30" customHeight="1">
      <c r="A83" s="8" t="n">
        <v>82</v>
      </c>
      <c r="B83" s="9" t="inlineStr">
        <is>
          <t>IPDPS</t>
        </is>
      </c>
      <c r="C83" s="8" t="inlineStr">
        <is>
          <t>B</t>
        </is>
      </c>
      <c r="D83" s="12" t="inlineStr">
        <is>
          <t>体系结构/并行/存储</t>
        </is>
      </c>
      <c r="E83" s="8" t="inlineStr">
        <is>
          <t>无专属条款</t>
        </is>
      </c>
      <c r="F83" s="8" t="inlineStr">
        <is>
          <t>无</t>
        </is>
      </c>
      <c r="G83" s="10" t="inlineStr">
        <is>
          <t>8 篇/届</t>
        </is>
      </c>
      <c r="H83" s="10" t="inlineStr">
        <is>
          <t>无审稿义务</t>
        </is>
      </c>
      <c r="I83" s="8" t="inlineStr">
        <is>
          <t>8 篇（每作者上限）</t>
        </is>
      </c>
      <c r="J83" s="8" t="inlineStr">
        <is>
          <t>不强制</t>
        </is>
      </c>
      <c r="K83" s="10" t="inlineStr">
        <is>
          <t>无门槛</t>
        </is>
      </c>
      <c r="L83" s="10" t="inlineStr">
        <is>
          <t>无</t>
        </is>
      </c>
      <c r="M83" s="10" t="inlineStr">
        <is>
          <t>未提及</t>
        </is>
      </c>
      <c r="N83" s="10" t="inlineStr">
        <is>
          <t>https://www.ipdps.org/ipdps2027/2027-call-for-papers.html</t>
        </is>
      </c>
      <c r="O83" s="8" t="inlineStr">
        <is>
          <t>中</t>
        </is>
      </c>
      <c r="P83" s="10" t="inlineStr">
        <is>
          <t>配额为通用上限；学生通道未在 CFP 列出</t>
        </is>
      </c>
    </row>
    <row r="84" ht="30" customHeight="1">
      <c r="A84" s="8" t="n">
        <v>83</v>
      </c>
      <c r="B84" s="9" t="inlineStr">
        <is>
          <t>ISCAS</t>
        </is>
      </c>
      <c r="C84" s="8" t="inlineStr">
        <is>
          <t>B</t>
        </is>
      </c>
      <c r="D84" s="12" t="inlineStr">
        <is>
          <t>体系结构/并行/存储</t>
        </is>
      </c>
      <c r="E84" s="8" t="inlineStr">
        <is>
          <t>CFP未发布</t>
        </is>
      </c>
      <c r="F84" s="8" t="inlineStr">
        <is>
          <t>CFP未发布</t>
        </is>
      </c>
      <c r="G84" s="10" t="inlineStr">
        <is>
          <t>不限</t>
        </is>
      </c>
      <c r="H84" s="10" t="inlineStr">
        <is>
          <t>未找到</t>
        </is>
      </c>
      <c r="I84" s="8" t="inlineStr">
        <is>
          <t>未找到</t>
        </is>
      </c>
      <c r="J84" s="8" t="inlineStr">
        <is>
          <t>待确认</t>
        </is>
      </c>
      <c r="K84" s="10" t="inlineStr">
        <is>
          <t>未找到</t>
        </is>
      </c>
      <c r="L84" s="10" t="inlineStr">
        <is>
          <t>未找到</t>
        </is>
      </c>
      <c r="M84" s="10" t="inlineStr">
        <is>
          <t>未找到</t>
        </is>
      </c>
      <c r="N84" s="10" t="inlineStr">
        <is>
          <t>—</t>
        </is>
      </c>
      <c r="O84" s="8" t="inlineStr">
        <is>
          <t>低</t>
        </is>
      </c>
      <c r="P84" s="10" t="inlineStr">
        <is>
          <t>2027 CFP 未发布，A-F 类条款无从判定</t>
        </is>
      </c>
    </row>
    <row r="85" ht="30" customHeight="1">
      <c r="A85" s="8" t="n">
        <v>84</v>
      </c>
      <c r="B85" s="9" t="inlineStr">
        <is>
          <t>MSST</t>
        </is>
      </c>
      <c r="C85" s="8" t="inlineStr">
        <is>
          <t>B</t>
        </is>
      </c>
      <c r="D85" s="12" t="inlineStr">
        <is>
          <t>体系结构/并行/存储</t>
        </is>
      </c>
      <c r="E85" s="8" t="inlineStr">
        <is>
          <t>CFP未发布</t>
        </is>
      </c>
      <c r="F85" s="8" t="inlineStr">
        <is>
          <t>CFP未发布</t>
        </is>
      </c>
      <c r="G85" s="10" t="inlineStr">
        <is>
          <t>不限</t>
        </is>
      </c>
      <c r="H85" s="10" t="inlineStr">
        <is>
          <t>未找到</t>
        </is>
      </c>
      <c r="I85" s="8" t="inlineStr">
        <is>
          <t>未找到</t>
        </is>
      </c>
      <c r="J85" s="8" t="inlineStr">
        <is>
          <t>待确认</t>
        </is>
      </c>
      <c r="K85" s="10" t="inlineStr">
        <is>
          <t>未找到</t>
        </is>
      </c>
      <c r="L85" s="10" t="inlineStr">
        <is>
          <t>未找到</t>
        </is>
      </c>
      <c r="M85" s="10" t="inlineStr">
        <is>
          <t>未找到</t>
        </is>
      </c>
      <c r="N85" s="10" t="inlineStr">
        <is>
          <t>—</t>
        </is>
      </c>
      <c r="O85" s="8" t="inlineStr">
        <is>
          <t>低</t>
        </is>
      </c>
      <c r="P85" s="10" t="inlineStr">
        <is>
          <t>2027 CFP 未发布，A-F 类条款无从判定</t>
        </is>
      </c>
    </row>
    <row r="86" ht="30" customHeight="1">
      <c r="A86" s="8" t="n">
        <v>85</v>
      </c>
      <c r="B86" s="9" t="inlineStr">
        <is>
          <t>RTAS</t>
        </is>
      </c>
      <c r="C86" s="8" t="inlineStr">
        <is>
          <t>B</t>
        </is>
      </c>
      <c r="D86" s="12" t="inlineStr">
        <is>
          <t>体系结构/并行/存储</t>
        </is>
      </c>
      <c r="E86" s="8" t="inlineStr">
        <is>
          <t>有专属条款</t>
        </is>
      </c>
      <c r="F86" s="8" t="inlineStr">
        <is>
          <t>有硬性要求</t>
        </is>
      </c>
      <c r="G86" s="10" t="inlineStr">
        <is>
          <t>不限</t>
        </is>
      </c>
      <c r="H86" s="10" t="inlineStr">
        <is>
          <t>无审稿义务</t>
        </is>
      </c>
      <c r="I86" s="8" t="inlineStr">
        <is>
          <t>无</t>
        </is>
      </c>
      <c r="J86" s="8" t="inlineStr">
        <is>
          <t>不强制</t>
        </is>
      </c>
      <c r="K86" s="10" t="inlineStr">
        <is>
          <t>投稿时每位作者须填 ORCID iD</t>
        </is>
      </c>
      <c r="L86" s="10" t="inlineStr">
        <is>
          <t>无</t>
        </is>
      </c>
      <c r="M86" s="10" t="inlineStr">
        <is>
          <t>未提及</t>
        </is>
      </c>
      <c r="N86" s="10" t="inlineStr">
        <is>
          <t>https://2027.rtas.org/cfp/</t>
        </is>
      </c>
      <c r="O86" s="8" t="inlineStr">
        <is>
          <t>高</t>
        </is>
      </c>
      <c r="P86" s="10" t="inlineStr">
        <is>
          <t>ORCID 为投稿系统必填项</t>
        </is>
      </c>
    </row>
    <row r="87" ht="30" customHeight="1">
      <c r="A87" s="8" t="n">
        <v>86</v>
      </c>
      <c r="B87" s="9" t="inlineStr">
        <is>
          <t>SIGMETRICS</t>
        </is>
      </c>
      <c r="C87" s="8" t="inlineStr">
        <is>
          <t>B</t>
        </is>
      </c>
      <c r="D87" s="12" t="inlineStr">
        <is>
          <t>体系结构/并行/存储</t>
        </is>
      </c>
      <c r="E87" s="8" t="inlineStr">
        <is>
          <t>无专属条款</t>
        </is>
      </c>
      <c r="F87" s="8" t="inlineStr">
        <is>
          <t>无</t>
        </is>
      </c>
      <c r="G87" s="10" t="inlineStr">
        <is>
          <t>不限</t>
        </is>
      </c>
      <c r="H87" s="10" t="inlineStr">
        <is>
          <t>无审稿义务</t>
        </is>
      </c>
      <c r="I87" s="8" t="inlineStr">
        <is>
          <t>无</t>
        </is>
      </c>
      <c r="J87" s="8" t="inlineStr">
        <is>
          <t>不强制</t>
        </is>
      </c>
      <c r="K87" s="10" t="inlineStr">
        <is>
          <t>无门槛</t>
        </is>
      </c>
      <c r="L87" s="10" t="inlineStr">
        <is>
          <t>无</t>
        </is>
      </c>
      <c r="M87" s="10" t="inlineStr">
        <is>
          <t>未提及</t>
        </is>
      </c>
      <c r="N87" s="10" t="inlineStr">
        <is>
          <t>https://www.sigmetrics.org/sigmetrics2027/pages/cfp.html</t>
        </is>
      </c>
      <c r="O87" s="8" t="inlineStr">
        <is>
          <t>高</t>
        </is>
      </c>
      <c r="P87" s="10" t="inlineStr">
        <is>
          <t>设 Sevcik 学生论文奖，但无学生投稿通道</t>
        </is>
      </c>
    </row>
    <row r="88" ht="30" customHeight="1">
      <c r="A88" s="8" t="n">
        <v>87</v>
      </c>
      <c r="B88" s="9" t="inlineStr">
        <is>
          <t>SPAA</t>
        </is>
      </c>
      <c r="C88" s="8" t="inlineStr">
        <is>
          <t>B</t>
        </is>
      </c>
      <c r="D88" s="12" t="inlineStr">
        <is>
          <t>体系结构/并行/存储</t>
        </is>
      </c>
      <c r="E88" s="8" t="inlineStr">
        <is>
          <t>无专属条款</t>
        </is>
      </c>
      <c r="F88" s="8" t="inlineStr">
        <is>
          <t>无</t>
        </is>
      </c>
      <c r="G88" s="10" t="inlineStr">
        <is>
          <t>不限</t>
        </is>
      </c>
      <c r="H88" s="10" t="inlineStr">
        <is>
          <t>无审稿义务</t>
        </is>
      </c>
      <c r="I88" s="8" t="inlineStr">
        <is>
          <t>无</t>
        </is>
      </c>
      <c r="J88" s="8" t="inlineStr">
        <is>
          <t>不强制</t>
        </is>
      </c>
      <c r="K88" s="10" t="inlineStr">
        <is>
          <t>无门槛</t>
        </is>
      </c>
      <c r="L88" s="10" t="inlineStr">
        <is>
          <t>无</t>
        </is>
      </c>
      <c r="M88" s="10" t="inlineStr">
        <is>
          <t>未提及</t>
        </is>
      </c>
      <c r="N88" s="10" t="inlineStr">
        <is>
          <t>https://spaa.acm.org/spaa-2027-call-for-papers/</t>
        </is>
      </c>
      <c r="O88" s="8" t="inlineStr">
        <is>
          <t>高</t>
        </is>
      </c>
      <c r="P88" s="10" t="inlineStr">
        <is>
          <t>两轮投稿周期；无新人专属条款</t>
        </is>
      </c>
    </row>
    <row r="89" ht="30" customHeight="1">
      <c r="A89" s="8" t="n">
        <v>88</v>
      </c>
      <c r="B89" s="9" t="inlineStr">
        <is>
          <t>GROUP</t>
        </is>
      </c>
      <c r="C89" s="8" t="inlineStr">
        <is>
          <t>B</t>
        </is>
      </c>
      <c r="D89" s="12" t="inlineStr">
        <is>
          <t>人机交互与普适计算</t>
        </is>
      </c>
      <c r="E89" s="8" t="inlineStr">
        <is>
          <t>未找到</t>
        </is>
      </c>
      <c r="F89" s="8" t="inlineStr">
        <is>
          <t>未找到</t>
        </is>
      </c>
      <c r="G89" s="10" t="inlineStr">
        <is>
          <t>不限</t>
        </is>
      </c>
      <c r="H89" s="10" t="inlineStr">
        <is>
          <t>未找到</t>
        </is>
      </c>
      <c r="I89" s="8" t="inlineStr">
        <is>
          <t>未找到</t>
        </is>
      </c>
      <c r="J89" s="8" t="inlineStr">
        <is>
          <t>待确认</t>
        </is>
      </c>
      <c r="K89" s="10" t="inlineStr">
        <is>
          <t>未找到</t>
        </is>
      </c>
      <c r="L89" s="10" t="inlineStr">
        <is>
          <t>未找到</t>
        </is>
      </c>
      <c r="M89" s="10" t="inlineStr">
        <is>
          <t>未找到</t>
        </is>
      </c>
      <c r="N89" s="10" t="inlineStr">
        <is>
          <t>https://group.acm.org/conferences/group27/</t>
        </is>
      </c>
      <c r="O89" s="8" t="inlineStr">
        <is>
          <t>低</t>
        </is>
      </c>
      <c r="P89" s="10" t="inlineStr">
        <is>
          <t>首页仅列截稿日期，无条款页链接</t>
        </is>
      </c>
    </row>
    <row r="90" ht="30" customHeight="1">
      <c r="A90" s="8" t="n">
        <v>89</v>
      </c>
      <c r="B90" s="9" t="inlineStr">
        <is>
          <t>ICWSM</t>
        </is>
      </c>
      <c r="C90" s="8" t="inlineStr">
        <is>
          <t>B</t>
        </is>
      </c>
      <c r="D90" s="12" t="inlineStr">
        <is>
          <t>人机交互与普适计算</t>
        </is>
      </c>
      <c r="E90" s="8" t="inlineStr">
        <is>
          <t>CFP未发布</t>
        </is>
      </c>
      <c r="F90" s="8" t="inlineStr">
        <is>
          <t>CFP未发布</t>
        </is>
      </c>
      <c r="G90" s="10" t="inlineStr">
        <is>
          <t>不限</t>
        </is>
      </c>
      <c r="H90" s="10" t="inlineStr">
        <is>
          <t>未找到</t>
        </is>
      </c>
      <c r="I90" s="8" t="inlineStr">
        <is>
          <t>未找到</t>
        </is>
      </c>
      <c r="J90" s="8" t="inlineStr">
        <is>
          <t>待确认</t>
        </is>
      </c>
      <c r="K90" s="10" t="inlineStr">
        <is>
          <t>未找到</t>
        </is>
      </c>
      <c r="L90" s="10" t="inlineStr">
        <is>
          <t>未找到</t>
        </is>
      </c>
      <c r="M90" s="10" t="inlineStr">
        <is>
          <t>未找到</t>
        </is>
      </c>
      <c r="N90" s="10" t="inlineStr">
        <is>
          <t>—</t>
        </is>
      </c>
      <c r="O90" s="8" t="inlineStr">
        <is>
          <t>低</t>
        </is>
      </c>
      <c r="P90" s="10" t="inlineStr">
        <is>
          <t>2027 CFP 未发布，A-F 类条款无从判定</t>
        </is>
      </c>
    </row>
    <row r="91" ht="30" customHeight="1">
      <c r="A91" s="8" t="n">
        <v>90</v>
      </c>
      <c r="B91" s="9" t="inlineStr">
        <is>
          <t>IUI</t>
        </is>
      </c>
      <c r="C91" s="8" t="inlineStr">
        <is>
          <t>B</t>
        </is>
      </c>
      <c r="D91" s="12" t="inlineStr">
        <is>
          <t>人机交互与普适计算</t>
        </is>
      </c>
      <c r="E91" s="8" t="inlineStr">
        <is>
          <t>无专属条款</t>
        </is>
      </c>
      <c r="F91" s="8" t="inlineStr">
        <is>
          <t>无</t>
        </is>
      </c>
      <c r="G91" s="10" t="inlineStr">
        <is>
          <t>不限</t>
        </is>
      </c>
      <c r="H91" s="10" t="inlineStr">
        <is>
          <t>无审稿义务</t>
        </is>
      </c>
      <c r="I91" s="8" t="inlineStr">
        <is>
          <t>无</t>
        </is>
      </c>
      <c r="J91" s="8" t="inlineStr">
        <is>
          <t>不强制</t>
        </is>
      </c>
      <c r="K91" s="10" t="inlineStr">
        <is>
          <t>无门槛</t>
        </is>
      </c>
      <c r="L91" s="10" t="inlineStr">
        <is>
          <t>无</t>
        </is>
      </c>
      <c r="M91" s="10" t="inlineStr">
        <is>
          <t>未提及</t>
        </is>
      </c>
      <c r="N91" s="10" t="inlineStr">
        <is>
          <t>https://iui.acm.org/2027/call-for-papers/</t>
        </is>
      </c>
      <c r="O91" s="8" t="inlineStr">
        <is>
          <t>高</t>
        </is>
      </c>
      <c r="P91" s="10" t="inlineStr">
        <is>
          <t>PCS 投稿；CFP 无 A–F 类条款</t>
        </is>
      </c>
    </row>
    <row r="92" ht="30" customHeight="1">
      <c r="A92" s="8" t="n">
        <v>91</v>
      </c>
      <c r="B92" s="9" t="inlineStr">
        <is>
          <t>MobileHCI</t>
        </is>
      </c>
      <c r="C92" s="8" t="inlineStr">
        <is>
          <t>B</t>
        </is>
      </c>
      <c r="D92" s="12" t="inlineStr">
        <is>
          <t>人机交互与普适计算</t>
        </is>
      </c>
      <c r="E92" s="8" t="inlineStr">
        <is>
          <t>有专属条款</t>
        </is>
      </c>
      <c r="F92" s="8" t="inlineStr">
        <is>
          <t>有硬性要求</t>
        </is>
      </c>
      <c r="G92" s="10" t="inlineStr">
        <is>
          <t>不限</t>
        </is>
      </c>
      <c r="H92" s="10" t="inlineStr">
        <is>
          <t>投稿即视为同意参与审稿</t>
        </is>
      </c>
      <c r="I92" s="8" t="inlineStr">
        <is>
          <t>无</t>
        </is>
      </c>
      <c r="J92" s="8" t="inlineStr">
        <is>
          <t>不强制</t>
        </is>
      </c>
      <c r="K92" s="10" t="inlineStr">
        <is>
          <t>无门槛</t>
        </is>
      </c>
      <c r="L92" s="10" t="inlineStr">
        <is>
          <t>无</t>
        </is>
      </c>
      <c r="M92" s="10" t="inlineStr">
        <is>
          <t>未提及</t>
        </is>
      </c>
      <c r="N92" s="10" t="inlineStr">
        <is>
          <t>https://mobilehci.acm.org/2027/submission/</t>
        </is>
      </c>
      <c r="O92" s="8" t="inlineStr">
        <is>
          <t>高</t>
        </is>
      </c>
      <c r="P92" s="10" t="inlineStr">
        <is>
          <t>合格作者投稿即同意审稿；学生通道本页未列</t>
        </is>
      </c>
    </row>
    <row r="93" ht="30" customHeight="1">
      <c r="A93" s="8" t="n">
        <v>92</v>
      </c>
      <c r="B93" s="9" t="inlineStr">
        <is>
          <t>PerCom</t>
        </is>
      </c>
      <c r="C93" s="8" t="inlineStr">
        <is>
          <t>B</t>
        </is>
      </c>
      <c r="D93" s="12" t="inlineStr">
        <is>
          <t>人机交互与普适计算</t>
        </is>
      </c>
      <c r="E93" s="8" t="inlineStr">
        <is>
          <t>无专属条款</t>
        </is>
      </c>
      <c r="F93" s="8" t="inlineStr">
        <is>
          <t>无</t>
        </is>
      </c>
      <c r="G93" s="10" t="inlineStr">
        <is>
          <t>不限</t>
        </is>
      </c>
      <c r="H93" s="10" t="inlineStr">
        <is>
          <t>无审稿义务</t>
        </is>
      </c>
      <c r="I93" s="8" t="inlineStr">
        <is>
          <t>无</t>
        </is>
      </c>
      <c r="J93" s="8" t="inlineStr">
        <is>
          <t>不强制</t>
        </is>
      </c>
      <c r="K93" s="10" t="inlineStr">
        <is>
          <t>无门槛</t>
        </is>
      </c>
      <c r="L93" s="10" t="inlineStr">
        <is>
          <t>无</t>
        </is>
      </c>
      <c r="M93" s="10" t="inlineStr">
        <is>
          <t>未提及</t>
        </is>
      </c>
      <c r="N93" s="10" t="inlineStr">
        <is>
          <t>https://percom.org/call-for-papers/</t>
        </is>
      </c>
      <c r="O93" s="8" t="inlineStr">
        <is>
          <t>高</t>
        </is>
      </c>
      <c r="P93" s="10" t="inlineStr">
        <is>
          <t>通读CFP，仅要求录用后全注册并现场报告</t>
        </is>
      </c>
    </row>
    <row r="94" ht="30" customHeight="1">
      <c r="A94" s="8" t="n">
        <v>93</v>
      </c>
      <c r="B94" s="9" t="inlineStr">
        <is>
          <t>ISMB</t>
        </is>
      </c>
      <c r="C94" s="8" t="inlineStr">
        <is>
          <t>B</t>
        </is>
      </c>
      <c r="D94" s="12" t="inlineStr">
        <is>
          <t>交叉/综合/新兴</t>
        </is>
      </c>
      <c r="E94" s="8" t="inlineStr">
        <is>
          <t>CFP未发布</t>
        </is>
      </c>
      <c r="F94" s="8" t="inlineStr">
        <is>
          <t>CFP未发布</t>
        </is>
      </c>
      <c r="G94" s="10" t="inlineStr">
        <is>
          <t>不限</t>
        </is>
      </c>
      <c r="H94" s="10" t="inlineStr">
        <is>
          <t>未找到</t>
        </is>
      </c>
      <c r="I94" s="8" t="inlineStr">
        <is>
          <t>未找到</t>
        </is>
      </c>
      <c r="J94" s="8" t="inlineStr">
        <is>
          <t>待确认</t>
        </is>
      </c>
      <c r="K94" s="10" t="inlineStr">
        <is>
          <t>未找到</t>
        </is>
      </c>
      <c r="L94" s="10" t="inlineStr">
        <is>
          <t>未找到</t>
        </is>
      </c>
      <c r="M94" s="10" t="inlineStr">
        <is>
          <t>未找到</t>
        </is>
      </c>
      <c r="N94" s="10" t="inlineStr">
        <is>
          <t>—</t>
        </is>
      </c>
      <c r="O94" s="8" t="inlineStr">
        <is>
          <t>低</t>
        </is>
      </c>
      <c r="P94" s="10" t="inlineStr">
        <is>
          <t>2027 CFP 未发布，A-F 类条款无从判定</t>
        </is>
      </c>
    </row>
    <row r="95" ht="30" customHeight="1">
      <c r="A95" s="8" t="n">
        <v>94</v>
      </c>
      <c r="B95" s="9" t="inlineStr">
        <is>
          <t>MICCAI</t>
        </is>
      </c>
      <c r="C95" s="8" t="inlineStr">
        <is>
          <t>B</t>
        </is>
      </c>
      <c r="D95" s="12" t="inlineStr">
        <is>
          <t>交叉/综合/新兴</t>
        </is>
      </c>
      <c r="E95" s="8" t="inlineStr">
        <is>
          <t>CFP未发布</t>
        </is>
      </c>
      <c r="F95" s="8" t="inlineStr">
        <is>
          <t>CFP未发布</t>
        </is>
      </c>
      <c r="G95" s="10" t="inlineStr">
        <is>
          <t>不限</t>
        </is>
      </c>
      <c r="H95" s="10" t="inlineStr">
        <is>
          <t>未找到</t>
        </is>
      </c>
      <c r="I95" s="8" t="inlineStr">
        <is>
          <t>未找到</t>
        </is>
      </c>
      <c r="J95" s="8" t="inlineStr">
        <is>
          <t>待确认</t>
        </is>
      </c>
      <c r="K95" s="10" t="inlineStr">
        <is>
          <t>未找到</t>
        </is>
      </c>
      <c r="L95" s="10" t="inlineStr">
        <is>
          <t>未找到</t>
        </is>
      </c>
      <c r="M95" s="10" t="inlineStr">
        <is>
          <t>未找到</t>
        </is>
      </c>
      <c r="N95" s="10" t="inlineStr">
        <is>
          <t>—</t>
        </is>
      </c>
      <c r="O95" s="8" t="inlineStr">
        <is>
          <t>低</t>
        </is>
      </c>
      <c r="P95" s="10" t="inlineStr">
        <is>
          <t>2027 CFP 未发布，A-F 类条款无从判定</t>
        </is>
      </c>
    </row>
    <row r="96" ht="30" customHeight="1">
      <c r="A96" s="8" t="n">
        <v>95</v>
      </c>
      <c r="B96" s="9" t="inlineStr">
        <is>
          <t>RECOMB</t>
        </is>
      </c>
      <c r="C96" s="8" t="inlineStr">
        <is>
          <t>B</t>
        </is>
      </c>
      <c r="D96" s="12" t="inlineStr">
        <is>
          <t>交叉/综合/新兴</t>
        </is>
      </c>
      <c r="E96" s="8" t="inlineStr">
        <is>
          <t>CFP未发布</t>
        </is>
      </c>
      <c r="F96" s="8" t="inlineStr">
        <is>
          <t>CFP未发布</t>
        </is>
      </c>
      <c r="G96" s="10" t="inlineStr">
        <is>
          <t>不限</t>
        </is>
      </c>
      <c r="H96" s="10" t="inlineStr">
        <is>
          <t>—</t>
        </is>
      </c>
      <c r="I96" s="8" t="inlineStr">
        <is>
          <t>—</t>
        </is>
      </c>
      <c r="J96" s="8" t="inlineStr">
        <is>
          <t>—</t>
        </is>
      </c>
      <c r="K96" s="10" t="inlineStr">
        <is>
          <t>—</t>
        </is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8" t="inlineStr">
        <is>
          <t>高</t>
        </is>
      </c>
      <c r="P96" s="10" t="inlineStr">
        <is>
          <t>2027 CFP 未发布，无 Authors/Submission 页可查</t>
        </is>
      </c>
    </row>
    <row r="97" ht="30" customHeight="1">
      <c r="A97" s="8" t="n">
        <v>96</v>
      </c>
      <c r="B97" s="9" t="inlineStr">
        <is>
          <t>CoNEXT</t>
        </is>
      </c>
      <c r="C97" s="8" t="inlineStr">
        <is>
          <t>B</t>
        </is>
      </c>
      <c r="D97" s="12" t="inlineStr">
        <is>
          <t>计算机网络</t>
        </is>
      </c>
      <c r="E97" s="8" t="inlineStr">
        <is>
          <t>无专属条款</t>
        </is>
      </c>
      <c r="F97" s="8" t="inlineStr">
        <is>
          <t>无</t>
        </is>
      </c>
      <c r="G97" s="10" t="inlineStr">
        <is>
          <t>不限</t>
        </is>
      </c>
      <c r="H97" s="10" t="inlineStr">
        <is>
          <t>无审稿义务</t>
        </is>
      </c>
      <c r="I97" s="8" t="inlineStr">
        <is>
          <t>无</t>
        </is>
      </c>
      <c r="J97" s="8" t="inlineStr">
        <is>
          <t>不强制</t>
        </is>
      </c>
      <c r="K97" s="10" t="inlineStr">
        <is>
          <t>无门槛</t>
        </is>
      </c>
      <c r="L97" s="10" t="inlineStr">
        <is>
          <t>无</t>
        </is>
      </c>
      <c r="M97" s="10" t="inlineStr">
        <is>
          <t>未提及</t>
        </is>
      </c>
      <c r="N97" s="10" t="inlineStr">
        <is>
          <t>https://conferences.sigcomm.org/co-next/2027/#!/cfp</t>
        </is>
      </c>
      <c r="O97" s="8" t="inlineStr">
        <is>
          <t>中</t>
        </is>
      </c>
      <c r="P97" s="10" t="inlineStr">
        <is>
          <t>录用后须办ORCID；无学生/新人条款</t>
        </is>
      </c>
    </row>
    <row r="98" ht="30" customHeight="1">
      <c r="A98" s="8" t="n">
        <v>97</v>
      </c>
      <c r="B98" s="9" t="inlineStr">
        <is>
          <t>IMC</t>
        </is>
      </c>
      <c r="C98" s="8" t="inlineStr">
        <is>
          <t>B</t>
        </is>
      </c>
      <c r="D98" s="12" t="inlineStr">
        <is>
          <t>计算机网络</t>
        </is>
      </c>
      <c r="E98" s="8" t="inlineStr">
        <is>
          <t>有专属条款</t>
        </is>
      </c>
      <c r="F98" s="8" t="inlineStr">
        <is>
          <t>只有利好通道</t>
        </is>
      </c>
      <c r="G98" s="10" t="inlineStr">
        <is>
          <t>不限</t>
        </is>
      </c>
      <c r="H98" s="10" t="inlineStr">
        <is>
          <t>无审稿义务</t>
        </is>
      </c>
      <c r="I98" s="8" t="inlineStr">
        <is>
          <t>无</t>
        </is>
      </c>
      <c r="J98" s="8" t="inlineStr">
        <is>
          <t>不强制</t>
        </is>
      </c>
      <c r="K98" s="10" t="inlineStr">
        <is>
          <t>无门槛</t>
        </is>
      </c>
      <c r="L98" s="10" t="inlineStr">
        <is>
          <t>最佳学生论文奖（限学生一作）</t>
        </is>
      </c>
      <c r="M98" s="10" t="inlineStr">
        <is>
          <t>未提及</t>
        </is>
      </c>
      <c r="N98" s="10" t="inlineStr">
        <is>
          <t>https://conferences.sigcomm.org/imc/2027/cfp/</t>
        </is>
      </c>
      <c r="O98" s="8" t="inlineStr">
        <is>
          <t>高</t>
        </is>
      </c>
      <c r="P98" s="10" t="inlineStr">
        <is>
          <t>无学生专场，仅设学生论文奖</t>
        </is>
      </c>
    </row>
    <row r="99" ht="30" customHeight="1">
      <c r="A99" s="8" t="n">
        <v>98</v>
      </c>
      <c r="B99" s="9" t="inlineStr">
        <is>
          <t>MobiSys</t>
        </is>
      </c>
      <c r="C99" s="8" t="inlineStr">
        <is>
          <t>B</t>
        </is>
      </c>
      <c r="D99" s="12" t="inlineStr">
        <is>
          <t>计算机网络</t>
        </is>
      </c>
      <c r="E99" s="8" t="inlineStr">
        <is>
          <t>有专属条款</t>
        </is>
      </c>
      <c r="F99" s="8" t="inlineStr">
        <is>
          <t>只有利好通道</t>
        </is>
      </c>
      <c r="G99" s="10" t="inlineStr">
        <is>
          <t>不限</t>
        </is>
      </c>
      <c r="H99" s="10" t="inlineStr">
        <is>
          <t>无审稿义务</t>
        </is>
      </c>
      <c r="I99" s="8" t="inlineStr">
        <is>
          <t>无</t>
        </is>
      </c>
      <c r="J99" s="8" t="inlineStr">
        <is>
          <t>不强制</t>
        </is>
      </c>
      <c r="K99" s="10" t="inlineStr">
        <is>
          <t>无门槛</t>
        </is>
      </c>
      <c r="L99" s="10" t="inlineStr">
        <is>
          <t>无</t>
        </is>
      </c>
      <c r="M99" s="10" t="inlineStr">
        <is>
          <t>须1位作者以非学生费率注册</t>
        </is>
      </c>
      <c r="N99" s="10" t="inlineStr">
        <is>
          <t>https://www.sigmobile.org/mobisys/2027/call_for_papers/</t>
        </is>
      </c>
      <c r="O99" s="8" t="inlineStr">
        <is>
          <t>高</t>
        </is>
      </c>
      <c r="P99" s="10" t="inlineStr">
        <is>
          <t>Emerging Ideas track面向早期想法，非学生专属</t>
        </is>
      </c>
    </row>
    <row r="100" ht="30" customHeight="1">
      <c r="A100" s="8" t="n">
        <v>99</v>
      </c>
      <c r="B100" s="9" t="inlineStr">
        <is>
          <t>NOSSDAV</t>
        </is>
      </c>
      <c r="C100" s="8" t="inlineStr">
        <is>
          <t>B</t>
        </is>
      </c>
      <c r="D100" s="12" t="inlineStr">
        <is>
          <t>计算机网络</t>
        </is>
      </c>
      <c r="E100" s="8" t="inlineStr">
        <is>
          <t>无专属条款</t>
        </is>
      </c>
      <c r="F100" s="8" t="inlineStr">
        <is>
          <t>无</t>
        </is>
      </c>
      <c r="G100" s="10" t="inlineStr">
        <is>
          <t>不限</t>
        </is>
      </c>
      <c r="H100" s="10" t="inlineStr">
        <is>
          <t>无审稿义务</t>
        </is>
      </c>
      <c r="I100" s="8" t="inlineStr">
        <is>
          <t>无</t>
        </is>
      </c>
      <c r="J100" s="8" t="inlineStr">
        <is>
          <t>不强制</t>
        </is>
      </c>
      <c r="K100" s="10" t="inlineStr">
        <is>
          <t>无门槛</t>
        </is>
      </c>
      <c r="L100" s="10" t="inlineStr">
        <is>
          <t>无</t>
        </is>
      </c>
      <c r="M100" s="10" t="inlineStr">
        <is>
          <t>未提及</t>
        </is>
      </c>
      <c r="N100" s="10" t="inlineStr">
        <is>
          <t>https://nossdav.org/2027</t>
        </is>
      </c>
      <c r="O100" s="8" t="inlineStr">
        <is>
          <t>中</t>
        </is>
      </c>
      <c r="P100" s="10" t="inlineStr">
        <is>
          <t>CFP仅规范格式与双盲，无新人条款</t>
        </is>
      </c>
    </row>
    <row r="101" ht="30" customHeight="1">
      <c r="A101" s="8" t="n">
        <v>100</v>
      </c>
      <c r="B101" s="9" t="inlineStr">
        <is>
          <t>SECON</t>
        </is>
      </c>
      <c r="C101" s="8" t="inlineStr">
        <is>
          <t>B</t>
        </is>
      </c>
      <c r="D101" s="12" t="inlineStr">
        <is>
          <t>计算机网络</t>
        </is>
      </c>
      <c r="E101" s="8" t="inlineStr">
        <is>
          <t>未找到</t>
        </is>
      </c>
      <c r="F101" s="8" t="inlineStr">
        <is>
          <t>未找到</t>
        </is>
      </c>
      <c r="G101" s="10" t="inlineStr">
        <is>
          <t>不限</t>
        </is>
      </c>
      <c r="H101" s="10" t="inlineStr">
        <is>
          <t>无审稿义务</t>
        </is>
      </c>
      <c r="I101" s="8" t="inlineStr">
        <is>
          <t>无</t>
        </is>
      </c>
      <c r="J101" s="8" t="inlineStr">
        <is>
          <t>不强制</t>
        </is>
      </c>
      <c r="K101" s="10" t="inlineStr">
        <is>
          <t>无门槛</t>
        </is>
      </c>
      <c r="L101" s="10" t="inlineStr">
        <is>
          <t>无</t>
        </is>
      </c>
      <c r="M101" s="10" t="inlineStr">
        <is>
          <t>未提及</t>
        </is>
      </c>
      <c r="N101" s="10" t="inlineStr">
        <is>
          <t>https://secon2027.ieee-secon.org/authors/</t>
        </is>
      </c>
      <c r="O101" s="8" t="inlineStr">
        <is>
          <t>低</t>
        </is>
      </c>
      <c r="P101" s="10" t="inlineStr">
        <is>
          <t>Authors页仅列日期与EDAS入口，无条款正文</t>
        </is>
      </c>
    </row>
    <row r="102" ht="30" customHeight="1">
      <c r="A102" s="8" t="n">
        <v>101</v>
      </c>
      <c r="B102" s="9" t="inlineStr">
        <is>
          <t>SenSys</t>
        </is>
      </c>
      <c r="C102" s="8" t="inlineStr">
        <is>
          <t>B</t>
        </is>
      </c>
      <c r="D102" s="12" t="inlineStr">
        <is>
          <t>计算机网络</t>
        </is>
      </c>
      <c r="E102" s="8" t="inlineStr">
        <is>
          <t>有专属条款</t>
        </is>
      </c>
      <c r="F102" s="8" t="inlineStr">
        <is>
          <t>只有利好通道</t>
        </is>
      </c>
      <c r="G102" s="10" t="inlineStr">
        <is>
          <t>不限</t>
        </is>
      </c>
      <c r="H102" s="10" t="inlineStr">
        <is>
          <t>无审稿义务</t>
        </is>
      </c>
      <c r="I102" s="8" t="inlineStr">
        <is>
          <t>无</t>
        </is>
      </c>
      <c r="J102" s="8" t="inlineStr">
        <is>
          <t>不强制</t>
        </is>
      </c>
      <c r="K102" s="10" t="inlineStr">
        <is>
          <t>无门槛</t>
        </is>
      </c>
      <c r="L102" s="10" t="inlineStr">
        <is>
          <t>无</t>
        </is>
      </c>
      <c r="M102" s="10" t="inlineStr">
        <is>
          <t>每篇须1份非学生全额注册</t>
        </is>
      </c>
      <c r="N102" s="10" t="inlineStr">
        <is>
          <t>https://sensys.acm.org/2027/cfp.html</t>
        </is>
      </c>
      <c r="O102" s="8" t="inlineStr">
        <is>
          <t>高</t>
        </is>
      </c>
      <c r="P102" s="10" t="inlineStr">
        <is>
          <t>原文one full (non-student) registration</t>
        </is>
      </c>
    </row>
    <row r="103" ht="30" customHeight="1">
      <c r="A103" s="8" t="n">
        <v>102</v>
      </c>
      <c r="B103" s="9" t="inlineStr">
        <is>
          <t>CHES</t>
        </is>
      </c>
      <c r="C103" s="8" t="inlineStr">
        <is>
          <t>B</t>
        </is>
      </c>
      <c r="D103" s="12" t="inlineStr">
        <is>
          <t>网络与信息安全</t>
        </is>
      </c>
      <c r="E103" s="8" t="inlineStr">
        <is>
          <t>无专属条款</t>
        </is>
      </c>
      <c r="F103" s="8" t="inlineStr">
        <is>
          <t>无</t>
        </is>
      </c>
      <c r="G103" s="10" t="inlineStr">
        <is>
          <t>不限</t>
        </is>
      </c>
      <c r="H103" s="10" t="inlineStr">
        <is>
          <t>无审稿义务</t>
        </is>
      </c>
      <c r="I103" s="8" t="inlineStr">
        <is>
          <t>无</t>
        </is>
      </c>
      <c r="J103" s="8" t="inlineStr">
        <is>
          <t>不强制</t>
        </is>
      </c>
      <c r="K103" s="10" t="inlineStr">
        <is>
          <t>无门槛</t>
        </is>
      </c>
      <c r="L103" s="10" t="inlineStr">
        <is>
          <t>无</t>
        </is>
      </c>
      <c r="M103" s="10" t="inlineStr">
        <is>
          <t>未提及</t>
        </is>
      </c>
      <c r="N103" s="10" t="inlineStr">
        <is>
          <t>https://ches.iacr.org/2027/papersubmission.php</t>
        </is>
      </c>
      <c r="O103" s="8" t="inlineStr">
        <is>
          <t>中</t>
        </is>
      </c>
      <c r="P103" s="10" t="inlineStr">
        <is>
          <t>投稿规章页未涉学生/新人条款</t>
        </is>
      </c>
    </row>
    <row r="104" ht="30" customHeight="1">
      <c r="A104" s="8" t="n">
        <v>103</v>
      </c>
      <c r="B104" s="9" t="inlineStr">
        <is>
          <t>CSFW</t>
        </is>
      </c>
      <c r="C104" s="8" t="inlineStr">
        <is>
          <t>B</t>
        </is>
      </c>
      <c r="D104" s="12" t="inlineStr">
        <is>
          <t>网络与信息安全</t>
        </is>
      </c>
      <c r="E104" s="8" t="inlineStr">
        <is>
          <t>未找到</t>
        </is>
      </c>
      <c r="F104" s="8" t="inlineStr">
        <is>
          <t>未找到</t>
        </is>
      </c>
      <c r="G104" s="10" t="inlineStr">
        <is>
          <t>不限</t>
        </is>
      </c>
      <c r="H104" s="10" t="inlineStr">
        <is>
          <t>无审稿义务</t>
        </is>
      </c>
      <c r="I104" s="8" t="inlineStr">
        <is>
          <t>无</t>
        </is>
      </c>
      <c r="J104" s="8" t="inlineStr">
        <is>
          <t>不强制</t>
        </is>
      </c>
      <c r="K104" s="10" t="inlineStr">
        <is>
          <t>无门槛</t>
        </is>
      </c>
      <c r="L104" s="10" t="inlineStr">
        <is>
          <t>无</t>
        </is>
      </c>
      <c r="M104" s="10" t="inlineStr">
        <is>
          <t>未提及</t>
        </is>
      </c>
      <c r="N104" s="10" t="inlineStr">
        <is>
          <t>https://www.ieee-security.org/TC/CSF2027/</t>
        </is>
      </c>
      <c r="O104" s="8" t="inlineStr">
        <is>
          <t>低</t>
        </is>
      </c>
      <c r="P104" s="10" t="inlineStr">
        <is>
          <t>首页仅列三轮截稿日期，未见Authors页</t>
        </is>
      </c>
    </row>
    <row r="105" ht="30" customHeight="1">
      <c r="A105" s="8" t="n">
        <v>104</v>
      </c>
      <c r="B105" s="9" t="inlineStr">
        <is>
          <t>DSN</t>
        </is>
      </c>
      <c r="C105" s="8" t="inlineStr">
        <is>
          <t>B</t>
        </is>
      </c>
      <c r="D105" s="12" t="inlineStr">
        <is>
          <t>网络与信息安全</t>
        </is>
      </c>
      <c r="E105" s="8" t="inlineStr">
        <is>
          <t>有专属条款</t>
        </is>
      </c>
      <c r="F105" s="8" t="inlineStr">
        <is>
          <t>只有利好通道</t>
        </is>
      </c>
      <c r="G105" s="10" t="inlineStr">
        <is>
          <t>不限</t>
        </is>
      </c>
      <c r="H105" s="10" t="inlineStr">
        <is>
          <t>无审稿义务</t>
        </is>
      </c>
      <c r="I105" s="8" t="inlineStr">
        <is>
          <t>无</t>
        </is>
      </c>
      <c r="J105" s="8" t="inlineStr">
        <is>
          <t>不强制</t>
        </is>
      </c>
      <c r="K105" s="10" t="inlineStr">
        <is>
          <t>无门槛</t>
        </is>
      </c>
      <c r="L105" s="10" t="inlineStr">
        <is>
          <t>Mentoring（导师计划）</t>
        </is>
      </c>
      <c r="M105" s="10" t="inlineStr">
        <is>
          <t>学生差旅资助（Student Travel Grants）</t>
        </is>
      </c>
      <c r="N105" s="10" t="inlineStr">
        <is>
          <t>https://dsn2027-berlin.github.io/important-dates/</t>
        </is>
      </c>
      <c r="O105" s="8" t="inlineStr">
        <is>
          <t>中</t>
        </is>
      </c>
      <c r="P105" s="10" t="inlineStr">
        <is>
          <t>通道仅见站内导航，未读详情页</t>
        </is>
      </c>
    </row>
    <row r="106" ht="30" customHeight="1">
      <c r="A106" s="8" t="n">
        <v>105</v>
      </c>
      <c r="B106" s="9" t="inlineStr">
        <is>
          <t>FSE(IACR)</t>
        </is>
      </c>
      <c r="C106" s="8" t="inlineStr">
        <is>
          <t>B</t>
        </is>
      </c>
      <c r="D106" s="12" t="inlineStr">
        <is>
          <t>网络与信息安全</t>
        </is>
      </c>
      <c r="E106" s="8" t="inlineStr">
        <is>
          <t>有专属条款</t>
        </is>
      </c>
      <c r="F106" s="8" t="inlineStr">
        <is>
          <t>只有利好通道</t>
        </is>
      </c>
      <c r="G106" s="10" t="inlineStr">
        <is>
          <t>不限</t>
        </is>
      </c>
      <c r="H106" s="10" t="inlineStr">
        <is>
          <t>无审稿义务</t>
        </is>
      </c>
      <c r="I106" s="8" t="inlineStr">
        <is>
          <t>无</t>
        </is>
      </c>
      <c r="J106" s="8" t="inlineStr">
        <is>
          <t>不强制</t>
        </is>
      </c>
      <c r="K106" s="10" t="inlineStr">
        <is>
          <t>无门槛</t>
        </is>
      </c>
      <c r="L106" s="10" t="inlineStr">
        <is>
          <t>无</t>
        </is>
      </c>
      <c r="M106" s="10" t="inlineStr">
        <is>
          <t>学生作者免注册费，另设stipend</t>
        </is>
      </c>
      <c r="N106" s="10" t="inlineStr">
        <is>
          <t>https://fse.iacr.org/2027/callforpapers.php</t>
        </is>
      </c>
      <c r="O106" s="8" t="inlineStr">
        <is>
          <t>高</t>
        </is>
      </c>
      <c r="P106" s="10" t="inlineStr">
        <is>
          <t>限本人到会报告的学生作者</t>
        </is>
      </c>
    </row>
    <row r="107" ht="30" customHeight="1">
      <c r="A107" s="8" t="n">
        <v>106</v>
      </c>
      <c r="B107" s="9" t="inlineStr">
        <is>
          <t>PKC</t>
        </is>
      </c>
      <c r="C107" s="8" t="inlineStr">
        <is>
          <t>B</t>
        </is>
      </c>
      <c r="D107" s="12" t="inlineStr">
        <is>
          <t>网络与信息安全</t>
        </is>
      </c>
      <c r="E107" s="8" t="inlineStr">
        <is>
          <t>有专属条款</t>
        </is>
      </c>
      <c r="F107" s="8" t="inlineStr">
        <is>
          <t>有硬性要求</t>
        </is>
      </c>
      <c r="G107" s="10" t="inlineStr">
        <is>
          <t>PC成员限3篇，全为学生作者可4篇</t>
        </is>
      </c>
      <c r="H107" s="10" t="inlineStr">
        <is>
          <t>无审稿义务</t>
        </is>
      </c>
      <c r="I107" s="8" t="inlineStr">
        <is>
          <t>PC成员限3篇，全为学生作者可4篇</t>
        </is>
      </c>
      <c r="J107" s="8" t="inlineStr">
        <is>
          <t>不强制</t>
        </is>
      </c>
      <c r="K107" s="10" t="inlineStr">
        <is>
          <t>无门槛</t>
        </is>
      </c>
      <c r="L107" s="10" t="inlineStr">
        <is>
          <t>最佳早期职业论文奖（全部作者均早期）</t>
        </is>
      </c>
      <c r="M107" s="10" t="inlineStr">
        <is>
          <t>学生作者注册费全免，另设stipend</t>
        </is>
      </c>
      <c r="N107" s="10" t="inlineStr">
        <is>
          <t>https://pkc.iacr.org/2027/callforpapers.php</t>
        </is>
      </c>
      <c r="O107" s="8" t="inlineStr">
        <is>
          <t>高</t>
        </is>
      </c>
      <c r="P107" s="10" t="inlineStr">
        <is>
          <t>每篇须至少1份regular注册</t>
        </is>
      </c>
    </row>
    <row r="108" ht="30" customHeight="1">
      <c r="A108" s="8" t="n">
        <v>107</v>
      </c>
      <c r="B108" s="9" t="inlineStr">
        <is>
          <t>CAiSE</t>
        </is>
      </c>
      <c r="C108" s="8" t="inlineStr">
        <is>
          <t>B</t>
        </is>
      </c>
      <c r="D108" s="12" t="inlineStr">
        <is>
          <t>软件工程/系统软件</t>
        </is>
      </c>
      <c r="E108" s="8" t="inlineStr">
        <is>
          <t>未找到</t>
        </is>
      </c>
      <c r="F108" s="8" t="inlineStr">
        <is>
          <t>未找到</t>
        </is>
      </c>
      <c r="G108" s="10" t="inlineStr">
        <is>
          <t>不限</t>
        </is>
      </c>
      <c r="H108" s="10" t="inlineStr">
        <is>
          <t>无审稿义务</t>
        </is>
      </c>
      <c r="I108" s="8" t="inlineStr">
        <is>
          <t>无</t>
        </is>
      </c>
      <c r="J108" s="8" t="inlineStr">
        <is>
          <t>不强制</t>
        </is>
      </c>
      <c r="K108" s="10" t="inlineStr">
        <is>
          <t>无门槛</t>
        </is>
      </c>
      <c r="L108" s="10" t="inlineStr">
        <is>
          <t>无</t>
        </is>
      </c>
      <c r="M108" s="10" t="inlineStr">
        <is>
          <t>未提及</t>
        </is>
      </c>
      <c r="N108" s="10" t="inlineStr">
        <is>
          <t>https://deal.us.es/caise27/calls/dates/</t>
        </is>
      </c>
      <c r="O108" s="8" t="inlineStr">
        <is>
          <t>低</t>
        </is>
      </c>
      <c r="P108" s="10" t="inlineStr">
        <is>
          <t>仅日期页可读，CFP页返回403</t>
        </is>
      </c>
    </row>
    <row r="109" ht="30" customHeight="1">
      <c r="A109" s="8" t="n">
        <v>108</v>
      </c>
      <c r="B109" s="9" t="inlineStr">
        <is>
          <t>ECOOP</t>
        </is>
      </c>
      <c r="C109" s="8" t="inlineStr">
        <is>
          <t>B</t>
        </is>
      </c>
      <c r="D109" s="12" t="inlineStr">
        <is>
          <t>软件工程/系统软件</t>
        </is>
      </c>
      <c r="E109" s="8" t="inlineStr">
        <is>
          <t>有专属条款</t>
        </is>
      </c>
      <c r="F109" s="8" t="inlineStr">
        <is>
          <t>有硬性要求</t>
        </is>
      </c>
      <c r="G109" s="10" t="inlineStr">
        <is>
          <t>不限</t>
        </is>
      </c>
      <c r="H109" s="10" t="inlineStr">
        <is>
          <t>须同意 Reserve Reviewer 政策，可能被指定担任审稿人</t>
        </is>
      </c>
      <c r="I109" s="8" t="inlineStr">
        <is>
          <t>无</t>
        </is>
      </c>
      <c r="J109" s="8" t="inlineStr">
        <is>
          <t>不强制</t>
        </is>
      </c>
      <c r="K109" s="10" t="inlineStr">
        <is>
          <t>无门槛</t>
        </is>
      </c>
      <c r="L109" s="10" t="inlineStr">
        <is>
          <t>无</t>
        </is>
      </c>
      <c r="M109" s="10" t="inlineStr">
        <is>
          <t>未提及</t>
        </is>
      </c>
      <c r="N109" s="10" t="inlineStr">
        <is>
          <t>https://2027.ecoop.org/track/ecoop-2027-technical-papers</t>
        </is>
      </c>
      <c r="O109" s="8" t="inlineStr">
        <is>
          <t>高</t>
        </is>
      </c>
      <c r="P109" s="10" t="inlineStr">
        <is>
          <t>投稿量激增时可要求每篇一位作者审稿</t>
        </is>
      </c>
    </row>
    <row r="110" ht="30" customHeight="1">
      <c r="A110" s="8" t="n">
        <v>109</v>
      </c>
      <c r="B110" s="9" t="inlineStr">
        <is>
          <t>ETAPS</t>
        </is>
      </c>
      <c r="C110" s="8" t="inlineStr">
        <is>
          <t>B</t>
        </is>
      </c>
      <c r="D110" s="12" t="inlineStr">
        <is>
          <t>软件工程/系统软件</t>
        </is>
      </c>
      <c r="E110" s="8" t="inlineStr">
        <is>
          <t>CFP未发布</t>
        </is>
      </c>
      <c r="F110" s="8" t="inlineStr">
        <is>
          <t>CFP未发布</t>
        </is>
      </c>
      <c r="G110" s="10" t="inlineStr">
        <is>
          <t>不限</t>
        </is>
      </c>
      <c r="H110" s="10" t="inlineStr">
        <is>
          <t>—</t>
        </is>
      </c>
      <c r="I110" s="8" t="inlineStr">
        <is>
          <t>—</t>
        </is>
      </c>
      <c r="J110" s="8" t="inlineStr">
        <is>
          <t>—</t>
        </is>
      </c>
      <c r="K110" s="10" t="inlineStr">
        <is>
          <t>—</t>
        </is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8" t="inlineStr">
        <is>
          <t>高</t>
        </is>
      </c>
      <c r="P110" s="10" t="inlineStr">
        <is>
          <t>2027 CFP 未发布，无 Authors/Submission 页可查</t>
        </is>
      </c>
    </row>
    <row r="111" ht="30" customHeight="1">
      <c r="A111" s="8" t="n">
        <v>110</v>
      </c>
      <c r="B111" s="9" t="inlineStr">
        <is>
          <t>HotOS</t>
        </is>
      </c>
      <c r="C111" s="8" t="inlineStr">
        <is>
          <t>B</t>
        </is>
      </c>
      <c r="D111" s="12" t="inlineStr">
        <is>
          <t>软件工程/系统软件</t>
        </is>
      </c>
      <c r="E111" s="8" t="inlineStr">
        <is>
          <t>无专属条款</t>
        </is>
      </c>
      <c r="F111" s="8" t="inlineStr">
        <is>
          <t>无</t>
        </is>
      </c>
      <c r="G111" s="10" t="inlineStr">
        <is>
          <t>不限</t>
        </is>
      </c>
      <c r="H111" s="10" t="inlineStr">
        <is>
          <t>无审稿义务</t>
        </is>
      </c>
      <c r="I111" s="8" t="inlineStr">
        <is>
          <t>无</t>
        </is>
      </c>
      <c r="J111" s="8" t="inlineStr">
        <is>
          <t>不强制</t>
        </is>
      </c>
      <c r="K111" s="10" t="inlineStr">
        <is>
          <t>无门槛</t>
        </is>
      </c>
      <c r="L111" s="10" t="inlineStr">
        <is>
          <t>无</t>
        </is>
      </c>
      <c r="M111" s="10" t="inlineStr">
        <is>
          <t>未提及</t>
        </is>
      </c>
      <c r="N111" s="10" t="inlineStr">
        <is>
          <t>https://sigops.org/s/conferences/hotos/2027/cfp.html</t>
        </is>
      </c>
      <c r="O111" s="8" t="inlineStr">
        <is>
          <t>中</t>
        </is>
      </c>
      <c r="P111" s="10" t="inlineStr">
        <is>
          <t>仅 ACM 通用要求（ORCID、APC），无新人条款</t>
        </is>
      </c>
    </row>
    <row r="112" ht="30" customHeight="1">
      <c r="A112" s="8" t="n">
        <v>111</v>
      </c>
      <c r="B112" s="9" t="inlineStr">
        <is>
          <t>ICFP</t>
        </is>
      </c>
      <c r="C112" s="8" t="inlineStr">
        <is>
          <t>B</t>
        </is>
      </c>
      <c r="D112" s="12" t="inlineStr">
        <is>
          <t>软件工程/系统软件</t>
        </is>
      </c>
      <c r="E112" s="8" t="inlineStr">
        <is>
          <t>有专属条款</t>
        </is>
      </c>
      <c r="F112" s="8" t="inlineStr">
        <is>
          <t>有硬性要求</t>
        </is>
      </c>
      <c r="G112" s="10" t="inlineStr">
        <is>
          <t>4 篇（每位作者合计上限）</t>
        </is>
      </c>
      <c r="H112" s="10" t="inlineStr">
        <is>
          <t>每篇须一位资深作者登记为 reserve reviewer，违者可拒稿</t>
        </is>
      </c>
      <c r="I112" s="8" t="inlineStr">
        <is>
          <t>4 篇（每位作者合计上限）</t>
        </is>
      </c>
      <c r="J112" s="8" t="inlineStr">
        <is>
          <t>不强制</t>
        </is>
      </c>
      <c r="K112" s="10" t="inlineStr">
        <is>
          <t>须在 TPMS 注册，邮箱与 HotCRP 一致</t>
        </is>
      </c>
      <c r="L112" s="10" t="inlineStr">
        <is>
          <t>无</t>
        </is>
      </c>
      <c r="M112" s="10" t="inlineStr">
        <is>
          <t>可申请 SIGPLAN PAC 差旅资助</t>
        </is>
      </c>
      <c r="N112" s="10" t="inlineStr">
        <is>
          <t>https://icfp27.sigplan.org/track/icfp-2027-icfp-papers</t>
        </is>
      </c>
      <c r="O112" s="8" t="inlineStr">
        <is>
          <t>高</t>
        </is>
      </c>
      <c r="P112" s="10" t="inlineStr">
        <is>
          <t>无资深作者可豁免；SIGPLAN 新人可豁免</t>
        </is>
      </c>
    </row>
    <row r="113" ht="30" customHeight="1">
      <c r="A113" s="8" t="n">
        <v>112</v>
      </c>
      <c r="B113" s="9" t="inlineStr">
        <is>
          <t>ICPC</t>
        </is>
      </c>
      <c r="C113" s="8" t="inlineStr">
        <is>
          <t>B</t>
        </is>
      </c>
      <c r="D113" s="12" t="inlineStr">
        <is>
          <t>软件工程/系统软件</t>
        </is>
      </c>
      <c r="E113" s="8" t="inlineStr">
        <is>
          <t>无专属条款</t>
        </is>
      </c>
      <c r="F113" s="8" t="inlineStr">
        <is>
          <t>无</t>
        </is>
      </c>
      <c r="G113" s="10" t="inlineStr">
        <is>
          <t>不限</t>
        </is>
      </c>
      <c r="H113" s="10" t="inlineStr">
        <is>
          <t>无审稿义务</t>
        </is>
      </c>
      <c r="I113" s="8" t="inlineStr">
        <is>
          <t>无</t>
        </is>
      </c>
      <c r="J113" s="8" t="inlineStr">
        <is>
          <t>不强制</t>
        </is>
      </c>
      <c r="K113" s="10" t="inlineStr">
        <is>
          <t>无门槛</t>
        </is>
      </c>
      <c r="L113" s="10" t="inlineStr">
        <is>
          <t>无</t>
        </is>
      </c>
      <c r="M113" s="10" t="inlineStr">
        <is>
          <t>未提及</t>
        </is>
      </c>
      <c r="N113" s="10" t="inlineStr">
        <is>
          <t>https://conf.researchr.org/track/icpc-2027/icpc-2027-research-track</t>
        </is>
      </c>
      <c r="O113" s="8" t="inlineStr">
        <is>
          <t>中</t>
        </is>
      </c>
      <c r="P113" s="10" t="inlineStr">
        <is>
          <t>研究 track 页无新人条款；仅录用后需 ORCID</t>
        </is>
      </c>
    </row>
    <row r="114" ht="30" customHeight="1">
      <c r="A114" s="8" t="n">
        <v>113</v>
      </c>
      <c r="B114" s="9" t="inlineStr">
        <is>
          <t>ICSME</t>
        </is>
      </c>
      <c r="C114" s="8" t="inlineStr">
        <is>
          <t>B</t>
        </is>
      </c>
      <c r="D114" s="12" t="inlineStr">
        <is>
          <t>软件工程/系统软件</t>
        </is>
      </c>
      <c r="E114" s="8" t="inlineStr">
        <is>
          <t>未找到</t>
        </is>
      </c>
      <c r="F114" s="8" t="inlineStr">
        <is>
          <t>未找到</t>
        </is>
      </c>
      <c r="G114" s="10" t="inlineStr">
        <is>
          <t>不限</t>
        </is>
      </c>
      <c r="H114" s="10" t="inlineStr">
        <is>
          <t>未找到</t>
        </is>
      </c>
      <c r="I114" s="8" t="inlineStr">
        <is>
          <t>未找到</t>
        </is>
      </c>
      <c r="J114" s="8" t="inlineStr">
        <is>
          <t>待确认</t>
        </is>
      </c>
      <c r="K114" s="10" t="inlineStr">
        <is>
          <t>未找到</t>
        </is>
      </c>
      <c r="L114" s="10" t="inlineStr">
        <is>
          <t>未找到</t>
        </is>
      </c>
      <c r="M114" s="10" t="inlineStr">
        <is>
          <t>未找到</t>
        </is>
      </c>
      <c r="N114" s="10" t="inlineStr">
        <is>
          <t>https://conf.researchr.org/home/icsme-2027</t>
        </is>
      </c>
      <c r="O114" s="8" t="inlineStr">
        <is>
          <t>低</t>
        </is>
      </c>
      <c r="P114" s="10" t="inlineStr">
        <is>
          <t>首页仅城市与日期；研究 track 页两次 404</t>
        </is>
      </c>
    </row>
    <row r="115" ht="30" customHeight="1">
      <c r="A115" s="8" t="n">
        <v>114</v>
      </c>
      <c r="B115" s="9" t="inlineStr">
        <is>
          <t>ISSRE</t>
        </is>
      </c>
      <c r="C115" s="8" t="inlineStr">
        <is>
          <t>B</t>
        </is>
      </c>
      <c r="D115" s="12" t="inlineStr">
        <is>
          <t>软件工程/系统软件</t>
        </is>
      </c>
      <c r="E115" s="8" t="inlineStr">
        <is>
          <t>CFP未发布</t>
        </is>
      </c>
      <c r="F115" s="8" t="inlineStr">
        <is>
          <t>CFP未发布</t>
        </is>
      </c>
      <c r="G115" s="10" t="inlineStr">
        <is>
          <t>不限</t>
        </is>
      </c>
      <c r="H115" s="10" t="inlineStr">
        <is>
          <t>—</t>
        </is>
      </c>
      <c r="I115" s="8" t="inlineStr">
        <is>
          <t>—</t>
        </is>
      </c>
      <c r="J115" s="8" t="inlineStr">
        <is>
          <t>—</t>
        </is>
      </c>
      <c r="K115" s="10" t="inlineStr">
        <is>
          <t>—</t>
        </is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8" t="inlineStr">
        <is>
          <t>高</t>
        </is>
      </c>
      <c r="P115" s="10" t="inlineStr">
        <is>
          <t>2027 CFP 未发布，无 Authors/Submission 页可查</t>
        </is>
      </c>
    </row>
    <row r="116" ht="30" customHeight="1">
      <c r="A116" s="8" t="n">
        <v>115</v>
      </c>
      <c r="B116" s="9" t="inlineStr">
        <is>
          <t>RE</t>
        </is>
      </c>
      <c r="C116" s="8" t="inlineStr">
        <is>
          <t>B</t>
        </is>
      </c>
      <c r="D116" s="12" t="inlineStr">
        <is>
          <t>软件工程/系统软件</t>
        </is>
      </c>
      <c r="E116" s="8" t="inlineStr">
        <is>
          <t>未找到</t>
        </is>
      </c>
      <c r="F116" s="8" t="inlineStr">
        <is>
          <t>未找到</t>
        </is>
      </c>
      <c r="G116" s="10" t="inlineStr">
        <is>
          <t>不限</t>
        </is>
      </c>
      <c r="H116" s="10" t="inlineStr">
        <is>
          <t>未找到</t>
        </is>
      </c>
      <c r="I116" s="8" t="inlineStr">
        <is>
          <t>未找到</t>
        </is>
      </c>
      <c r="J116" s="8" t="inlineStr">
        <is>
          <t>待确认</t>
        </is>
      </c>
      <c r="K116" s="10" t="inlineStr">
        <is>
          <t>未找到</t>
        </is>
      </c>
      <c r="L116" s="10" t="inlineStr">
        <is>
          <t>未找到</t>
        </is>
      </c>
      <c r="M116" s="10" t="inlineStr">
        <is>
          <t>未找到</t>
        </is>
      </c>
      <c r="N116" s="10" t="inlineStr">
        <is>
          <t>https://conf.researchr.org/dates/RE-2027</t>
        </is>
      </c>
      <c r="O116" s="8" t="inlineStr">
        <is>
          <t>低</t>
        </is>
      </c>
      <c r="P116" s="10" t="inlineStr">
        <is>
          <t>仅读日期页；见 RE@Next! 独立 track，性质待确认</t>
        </is>
      </c>
    </row>
    <row r="117" ht="30" customHeight="1">
      <c r="A117" s="8" t="n">
        <v>116</v>
      </c>
      <c r="B117" s="9" t="inlineStr">
        <is>
          <t>SANER</t>
        </is>
      </c>
      <c r="C117" s="8" t="inlineStr">
        <is>
          <t>B</t>
        </is>
      </c>
      <c r="D117" s="12" t="inlineStr">
        <is>
          <t>软件工程/系统软件</t>
        </is>
      </c>
      <c r="E117" s="8" t="inlineStr">
        <is>
          <t>未找到</t>
        </is>
      </c>
      <c r="F117" s="8" t="inlineStr">
        <is>
          <t>未找到</t>
        </is>
      </c>
      <c r="G117" s="10" t="inlineStr">
        <is>
          <t>不限</t>
        </is>
      </c>
      <c r="H117" s="10" t="inlineStr">
        <is>
          <t>未找到</t>
        </is>
      </c>
      <c r="I117" s="8" t="inlineStr">
        <is>
          <t>未找到</t>
        </is>
      </c>
      <c r="J117" s="8" t="inlineStr">
        <is>
          <t>待确认</t>
        </is>
      </c>
      <c r="K117" s="10" t="inlineStr">
        <is>
          <t>未找到</t>
        </is>
      </c>
      <c r="L117" s="10" t="inlineStr">
        <is>
          <t>未找到</t>
        </is>
      </c>
      <c r="M117" s="10" t="inlineStr">
        <is>
          <t>未找到</t>
        </is>
      </c>
      <c r="N117" s="10" t="inlineStr">
        <is>
          <t>https://conf.researchr.org/dates/saner-2027</t>
        </is>
      </c>
      <c r="O117" s="8" t="inlineStr">
        <is>
          <t>低</t>
        </is>
      </c>
      <c r="P117" s="10" t="inlineStr">
        <is>
          <t>日期页仅列时间节点；研究 track 页 404</t>
        </is>
      </c>
    </row>
    <row r="118" ht="30" customHeight="1">
      <c r="A118" s="8" t="n">
        <v>117</v>
      </c>
      <c r="B118" s="9" t="inlineStr">
        <is>
          <t>VMCAI</t>
        </is>
      </c>
      <c r="C118" s="8" t="inlineStr">
        <is>
          <t>B</t>
        </is>
      </c>
      <c r="D118" s="12" t="inlineStr">
        <is>
          <t>软件工程/系统软件</t>
        </is>
      </c>
      <c r="E118" s="8" t="inlineStr">
        <is>
          <t>未找到</t>
        </is>
      </c>
      <c r="F118" s="8" t="inlineStr">
        <is>
          <t>未找到</t>
        </is>
      </c>
      <c r="G118" s="10" t="inlineStr">
        <is>
          <t>不限</t>
        </is>
      </c>
      <c r="H118" s="10" t="inlineStr">
        <is>
          <t>未找到</t>
        </is>
      </c>
      <c r="I118" s="8" t="inlineStr">
        <is>
          <t>未找到</t>
        </is>
      </c>
      <c r="J118" s="8" t="inlineStr">
        <is>
          <t>待确认</t>
        </is>
      </c>
      <c r="K118" s="10" t="inlineStr">
        <is>
          <t>未找到</t>
        </is>
      </c>
      <c r="L118" s="10" t="inlineStr">
        <is>
          <t>未找到</t>
        </is>
      </c>
      <c r="M118" s="10" t="inlineStr">
        <is>
          <t>未找到</t>
        </is>
      </c>
      <c r="N118" s="10" t="inlineStr">
        <is>
          <t>https://conf.researchr.org/home/VMCAI-2027</t>
        </is>
      </c>
      <c r="O118" s="8" t="inlineStr">
        <is>
          <t>低</t>
        </is>
      </c>
      <c r="P118" s="10" t="inlineStr">
        <is>
          <t>主页仅见页数、附录与重复投稿规定</t>
        </is>
      </c>
    </row>
    <row r="119" ht="30" customHeight="1">
      <c r="A119" s="8" t="n">
        <v>118</v>
      </c>
      <c r="B119" s="9" t="inlineStr">
        <is>
          <t>AISTATS</t>
        </is>
      </c>
      <c r="C119" s="8" t="inlineStr">
        <is>
          <t>C</t>
        </is>
      </c>
      <c r="D119" s="12" t="inlineStr">
        <is>
          <t>人工智能</t>
        </is>
      </c>
      <c r="E119" s="8" t="inlineStr">
        <is>
          <t>有专属条款</t>
        </is>
      </c>
      <c r="F119" s="8" t="inlineStr">
        <is>
          <t>有硬性要求</t>
        </is>
      </c>
      <c r="G119" s="10" t="inlineStr">
        <is>
          <t>12 篇；无 ICLR/ICML/NeurIPS/AISTATS 录用者限 3 篇</t>
        </is>
      </c>
      <c r="H119" s="10" t="inlineStr">
        <is>
          <t>每篇须提名一名作者任互惠审稿人，缺失可 desk-reject</t>
        </is>
      </c>
      <c r="I119" s="8" t="inlineStr">
        <is>
          <t>12 篇；无 ICLR/ICML/NeurIPS/AISTATS 录用者限 3 篇</t>
        </is>
      </c>
      <c r="J119" s="8" t="inlineStr">
        <is>
          <t>不强制</t>
        </is>
      </c>
      <c r="K119" s="10" t="inlineStr">
        <is>
          <t>OpenReview 档案须完整，含单位与发表记录</t>
        </is>
      </c>
      <c r="L119" s="10" t="inlineStr">
        <is>
          <t>无</t>
        </is>
      </c>
      <c r="M119" s="10" t="inlineStr">
        <is>
          <t>未提及</t>
        </is>
      </c>
      <c r="N119" s="10" t="inlineStr">
        <is>
          <t>https://virtual.aistats.org/Conferences/2027/CallForPapers</t>
        </is>
      </c>
      <c r="O119" s="8" t="inlineStr">
        <is>
          <t>高</t>
        </is>
      </c>
      <c r="P119" s="10" t="inlineStr">
        <is>
          <t>全作者不合格的豁免仅限一人一篇</t>
        </is>
      </c>
    </row>
    <row r="120" ht="30" customHeight="1">
      <c r="A120" s="8" t="n">
        <v>119</v>
      </c>
      <c r="B120" s="9" t="inlineStr">
        <is>
          <t>ALT</t>
        </is>
      </c>
      <c r="C120" s="8" t="inlineStr">
        <is>
          <t>C</t>
        </is>
      </c>
      <c r="D120" s="12" t="inlineStr">
        <is>
          <t>人工智能</t>
        </is>
      </c>
      <c r="E120" s="8" t="inlineStr">
        <is>
          <t>CFP未发布</t>
        </is>
      </c>
      <c r="F120" s="8" t="inlineStr">
        <is>
          <t>CFP未发布</t>
        </is>
      </c>
      <c r="G120" s="10" t="inlineStr">
        <is>
          <t>不限</t>
        </is>
      </c>
      <c r="H120" s="10" t="inlineStr">
        <is>
          <t>—</t>
        </is>
      </c>
      <c r="I120" s="8" t="inlineStr">
        <is>
          <t>—</t>
        </is>
      </c>
      <c r="J120" s="8" t="inlineStr">
        <is>
          <t>—</t>
        </is>
      </c>
      <c r="K120" s="10" t="inlineStr">
        <is>
          <t>—</t>
        </is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8" t="inlineStr">
        <is>
          <t>高</t>
        </is>
      </c>
      <c r="P120" s="10" t="inlineStr">
        <is>
          <t>2027 CFP 未发布，无 Authors/Submission 页可查</t>
        </is>
      </c>
    </row>
    <row r="121" ht="30" customHeight="1">
      <c r="A121" s="8" t="n">
        <v>120</v>
      </c>
      <c r="B121" s="9" t="inlineStr">
        <is>
          <t>FG</t>
        </is>
      </c>
      <c r="C121" s="8" t="inlineStr">
        <is>
          <t>C</t>
        </is>
      </c>
      <c r="D121" s="12" t="inlineStr">
        <is>
          <t>人工智能</t>
        </is>
      </c>
      <c r="E121" s="8" t="inlineStr">
        <is>
          <t>无专属条款</t>
        </is>
      </c>
      <c r="F121" s="8" t="inlineStr">
        <is>
          <t>无</t>
        </is>
      </c>
      <c r="G121" s="10" t="inlineStr">
        <is>
          <t>不限</t>
        </is>
      </c>
      <c r="H121" s="10" t="inlineStr">
        <is>
          <t>无审稿义务</t>
        </is>
      </c>
      <c r="I121" s="8" t="inlineStr">
        <is>
          <t>无</t>
        </is>
      </c>
      <c r="J121" s="8" t="inlineStr">
        <is>
          <t>不强制</t>
        </is>
      </c>
      <c r="K121" s="10" t="inlineStr">
        <is>
          <t>无门槛</t>
        </is>
      </c>
      <c r="L121" s="10" t="inlineStr">
        <is>
          <t>无</t>
        </is>
      </c>
      <c r="M121" s="10" t="inlineStr">
        <is>
          <t>未提及</t>
        </is>
      </c>
      <c r="N121" s="10" t="inlineStr">
        <is>
          <t>https://fg2027.ieee-biometrics.org/call-for-papers/</t>
        </is>
      </c>
      <c r="O121" s="8" t="inlineStr">
        <is>
          <t>高</t>
        </is>
      </c>
      <c r="P121" s="10" t="inlineStr">
        <is>
          <t>仅设最佳学生论文奖，无 A–F 类条款</t>
        </is>
      </c>
    </row>
    <row r="122" ht="30" customHeight="1">
      <c r="A122" s="8" t="n">
        <v>121</v>
      </c>
      <c r="B122" s="9" t="inlineStr">
        <is>
          <t>GECCO</t>
        </is>
      </c>
      <c r="C122" s="8" t="inlineStr">
        <is>
          <t>C</t>
        </is>
      </c>
      <c r="D122" s="12" t="inlineStr">
        <is>
          <t>人工智能</t>
        </is>
      </c>
      <c r="E122" s="8" t="inlineStr">
        <is>
          <t>CFP未发布</t>
        </is>
      </c>
      <c r="F122" s="8" t="inlineStr">
        <is>
          <t>CFP未发布</t>
        </is>
      </c>
      <c r="G122" s="10" t="inlineStr">
        <is>
          <t>不限</t>
        </is>
      </c>
      <c r="H122" s="10" t="inlineStr">
        <is>
          <t>—</t>
        </is>
      </c>
      <c r="I122" s="8" t="inlineStr">
        <is>
          <t>—</t>
        </is>
      </c>
      <c r="J122" s="8" t="inlineStr">
        <is>
          <t>—</t>
        </is>
      </c>
      <c r="K122" s="10" t="inlineStr">
        <is>
          <t>—</t>
        </is>
      </c>
      <c r="L122" s="10" t="inlineStr">
        <is>
          <t>—</t>
        </is>
      </c>
      <c r="M122" s="10" t="inlineStr">
        <is>
          <t>—</t>
        </is>
      </c>
      <c r="N122" s="10" t="inlineStr">
        <is>
          <t>—</t>
        </is>
      </c>
      <c r="O122" s="8" t="inlineStr">
        <is>
          <t>高</t>
        </is>
      </c>
      <c r="P122" s="10" t="inlineStr">
        <is>
          <t>2027 CFP 未发布，无 Authors/Submission 页可查</t>
        </is>
      </c>
    </row>
    <row r="123" ht="30" customHeight="1">
      <c r="A123" s="8" t="n">
        <v>122</v>
      </c>
      <c r="B123" s="9" t="inlineStr">
        <is>
          <t>ICDAR</t>
        </is>
      </c>
      <c r="C123" s="8" t="inlineStr">
        <is>
          <t>C</t>
        </is>
      </c>
      <c r="D123" s="12" t="inlineStr">
        <is>
          <t>人工智能</t>
        </is>
      </c>
      <c r="E123" s="8" t="inlineStr">
        <is>
          <t>未找到</t>
        </is>
      </c>
      <c r="F123" s="8" t="inlineStr">
        <is>
          <t>未找到</t>
        </is>
      </c>
      <c r="G123" s="10" t="inlineStr">
        <is>
          <t>不限</t>
        </is>
      </c>
      <c r="H123" s="10" t="inlineStr">
        <is>
          <t>未找到</t>
        </is>
      </c>
      <c r="I123" s="8" t="inlineStr">
        <is>
          <t>未找到</t>
        </is>
      </c>
      <c r="J123" s="8" t="inlineStr">
        <is>
          <t>待确认</t>
        </is>
      </c>
      <c r="K123" s="10" t="inlineStr">
        <is>
          <t>未找到</t>
        </is>
      </c>
      <c r="L123" s="10" t="inlineStr">
        <is>
          <t>未找到</t>
        </is>
      </c>
      <c r="M123" s="10" t="inlineStr">
        <is>
          <t>未找到</t>
        </is>
      </c>
      <c r="N123" s="10" t="inlineStr">
        <is>
          <t>https://icdar2027.org/important-dates</t>
        </is>
      </c>
      <c r="O123" s="8" t="inlineStr">
        <is>
          <t>低</t>
        </is>
      </c>
      <c r="P123" s="10" t="inlineStr">
        <is>
          <t>站点 Cloudflare 拦截，两次均未打开</t>
        </is>
      </c>
    </row>
    <row r="124" ht="30" customHeight="1">
      <c r="A124" s="8" t="n">
        <v>123</v>
      </c>
      <c r="B124" s="9" t="inlineStr">
        <is>
          <t>ICPR</t>
        </is>
      </c>
      <c r="C124" s="8" t="inlineStr">
        <is>
          <t>C</t>
        </is>
      </c>
      <c r="D124" s="12" t="inlineStr">
        <is>
          <t>人工智能</t>
        </is>
      </c>
      <c r="E124" s="8" t="inlineStr">
        <is>
          <t>未找到</t>
        </is>
      </c>
      <c r="F124" s="8" t="inlineStr">
        <is>
          <t>未找到</t>
        </is>
      </c>
      <c r="G124" s="10" t="inlineStr">
        <is>
          <t>不限</t>
        </is>
      </c>
      <c r="H124" s="10" t="inlineStr">
        <is>
          <t>未找到</t>
        </is>
      </c>
      <c r="I124" s="8" t="inlineStr">
        <is>
          <t>未找到</t>
        </is>
      </c>
      <c r="J124" s="8" t="inlineStr">
        <is>
          <t>待确认</t>
        </is>
      </c>
      <c r="K124" s="10" t="inlineStr">
        <is>
          <t>未找到</t>
        </is>
      </c>
      <c r="L124" s="10" t="inlineStr">
        <is>
          <t>未找到</t>
        </is>
      </c>
      <c r="M124" s="10" t="inlineStr">
        <is>
          <t>未找到</t>
        </is>
      </c>
      <c r="N124" s="10" t="inlineStr">
        <is>
          <t>https://www.icpr2027.com/web/dates</t>
        </is>
      </c>
      <c r="O124" s="8" t="inlineStr">
        <is>
          <t>低</t>
        </is>
      </c>
      <c r="P124" s="10" t="inlineStr">
        <is>
          <t>日期页与首页均无 A–F 条款；虚拟举办、低注册费</t>
        </is>
      </c>
    </row>
    <row r="125" ht="30" customHeight="1">
      <c r="A125" s="8" t="n">
        <v>124</v>
      </c>
      <c r="B125" s="9" t="inlineStr">
        <is>
          <t>IEEE CEC</t>
        </is>
      </c>
      <c r="C125" s="8" t="inlineStr">
        <is>
          <t>C</t>
        </is>
      </c>
      <c r="D125" s="12" t="inlineStr">
        <is>
          <t>人工智能</t>
        </is>
      </c>
      <c r="E125" s="8" t="inlineStr">
        <is>
          <t>未找到</t>
        </is>
      </c>
      <c r="F125" s="8" t="inlineStr">
        <is>
          <t>未找到</t>
        </is>
      </c>
      <c r="G125" s="10" t="inlineStr">
        <is>
          <t>不限</t>
        </is>
      </c>
      <c r="H125" s="10" t="inlineStr">
        <is>
          <t>未找到</t>
        </is>
      </c>
      <c r="I125" s="8" t="inlineStr">
        <is>
          <t>未找到</t>
        </is>
      </c>
      <c r="J125" s="8" t="inlineStr">
        <is>
          <t>待确认</t>
        </is>
      </c>
      <c r="K125" s="10" t="inlineStr">
        <is>
          <t>未找到</t>
        </is>
      </c>
      <c r="L125" s="10" t="inlineStr">
        <is>
          <t>未找到</t>
        </is>
      </c>
      <c r="M125" s="10" t="inlineStr">
        <is>
          <t>未找到</t>
        </is>
      </c>
      <c r="N125" s="10" t="inlineStr">
        <is>
          <t>https://ieeecec.org/2027/authors/call-for-papers</t>
        </is>
      </c>
      <c r="O125" s="8" t="inlineStr">
        <is>
          <t>低</t>
        </is>
      </c>
      <c r="P125" s="10" t="inlineStr">
        <is>
          <t>CFP 页仅列主题与日期，无投稿政策条文</t>
        </is>
      </c>
    </row>
    <row r="126" ht="30" customHeight="1">
      <c r="A126" s="8" t="n">
        <v>125</v>
      </c>
      <c r="B126" s="9" t="inlineStr">
        <is>
          <t>IJCNN</t>
        </is>
      </c>
      <c r="C126" s="8" t="inlineStr">
        <is>
          <t>C</t>
        </is>
      </c>
      <c r="D126" s="12" t="inlineStr">
        <is>
          <t>人工智能</t>
        </is>
      </c>
      <c r="E126" s="8" t="inlineStr">
        <is>
          <t>无专属条款</t>
        </is>
      </c>
      <c r="F126" s="8" t="inlineStr">
        <is>
          <t>无</t>
        </is>
      </c>
      <c r="G126" s="10" t="inlineStr">
        <is>
          <t>不限</t>
        </is>
      </c>
      <c r="H126" s="10" t="inlineStr">
        <is>
          <t>无审稿义务</t>
        </is>
      </c>
      <c r="I126" s="8" t="inlineStr">
        <is>
          <t>无</t>
        </is>
      </c>
      <c r="J126" s="8" t="inlineStr">
        <is>
          <t>不强制</t>
        </is>
      </c>
      <c r="K126" s="10" t="inlineStr">
        <is>
          <t>无门槛</t>
        </is>
      </c>
      <c r="L126" s="10" t="inlineStr">
        <is>
          <t>无</t>
        </is>
      </c>
      <c r="M126" s="10" t="inlineStr">
        <is>
          <t>未提及</t>
        </is>
      </c>
      <c r="N126" s="10" t="inlineStr">
        <is>
          <t>https://ijcnn.org/2027/authors/call-for-papers</t>
        </is>
      </c>
      <c r="O126" s="8" t="inlineStr">
        <is>
          <t>中</t>
        </is>
      </c>
      <c r="P126" s="10" t="inlineStr">
        <is>
          <t>CFP与首页均未见A–F条款</t>
        </is>
      </c>
    </row>
    <row r="127" ht="30" customHeight="1">
      <c r="A127" s="8" t="n">
        <v>126</v>
      </c>
      <c r="B127" s="9" t="inlineStr">
        <is>
          <t>IROS</t>
        </is>
      </c>
      <c r="C127" s="8" t="inlineStr">
        <is>
          <t>C</t>
        </is>
      </c>
      <c r="D127" s="12" t="inlineStr">
        <is>
          <t>人工智能</t>
        </is>
      </c>
      <c r="E127" s="8" t="inlineStr">
        <is>
          <t>CFP未发布</t>
        </is>
      </c>
      <c r="F127" s="8" t="inlineStr">
        <is>
          <t>CFP未发布</t>
        </is>
      </c>
      <c r="G127" s="10" t="inlineStr">
        <is>
          <t>不限</t>
        </is>
      </c>
      <c r="H127" s="10" t="inlineStr">
        <is>
          <t>—</t>
        </is>
      </c>
      <c r="I127" s="8" t="inlineStr">
        <is>
          <t>—</t>
        </is>
      </c>
      <c r="J127" s="8" t="inlineStr">
        <is>
          <t>—</t>
        </is>
      </c>
      <c r="K127" s="10" t="inlineStr">
        <is>
          <t>—</t>
        </is>
      </c>
      <c r="L127" s="10" t="inlineStr">
        <is>
          <t>—</t>
        </is>
      </c>
      <c r="M127" s="10" t="inlineStr">
        <is>
          <t>—</t>
        </is>
      </c>
      <c r="N127" s="10" t="inlineStr">
        <is>
          <t>—</t>
        </is>
      </c>
      <c r="O127" s="8" t="inlineStr">
        <is>
          <t>高</t>
        </is>
      </c>
      <c r="P127" s="10" t="inlineStr">
        <is>
          <t>2027 CFP 未发布，无 Authors/Submission 页可查</t>
        </is>
      </c>
    </row>
    <row r="128" ht="30" customHeight="1">
      <c r="A128" s="8" t="n">
        <v>127</v>
      </c>
      <c r="B128" s="9" t="inlineStr">
        <is>
          <t>3DV</t>
        </is>
      </c>
      <c r="C128" s="8" t="inlineStr">
        <is>
          <t>C</t>
        </is>
      </c>
      <c r="D128" s="12" t="inlineStr">
        <is>
          <t>图形学与多媒体</t>
        </is>
      </c>
      <c r="E128" s="8" t="inlineStr">
        <is>
          <t>有专属条款</t>
        </is>
      </c>
      <c r="F128" s="8" t="inlineStr">
        <is>
          <t>只有利好通道</t>
        </is>
      </c>
      <c r="G128" s="10" t="inlineStr">
        <is>
          <t>不限</t>
        </is>
      </c>
      <c r="H128" s="10" t="inlineStr">
        <is>
          <t>无审稿义务</t>
        </is>
      </c>
      <c r="I128" s="8" t="inlineStr">
        <is>
          <t>无</t>
        </is>
      </c>
      <c r="J128" s="8" t="inlineStr">
        <is>
          <t>不强制</t>
        </is>
      </c>
      <c r="K128" s="10" t="inlineStr">
        <is>
          <t>无门槛</t>
        </is>
      </c>
      <c r="L128" s="10" t="inlineStr">
        <is>
          <t>Mentoring sessions</t>
        </is>
      </c>
      <c r="M128" s="10" t="inlineStr">
        <is>
          <t>未提及</t>
        </is>
      </c>
      <c r="N128" s="10" t="inlineStr">
        <is>
          <t>https://3dvconf.github.io/2027/call-for-papers</t>
        </is>
      </c>
      <c r="O128" s="8" t="inlineStr">
        <is>
          <t>中</t>
        </is>
      </c>
      <c r="P128" s="10" t="inlineStr">
        <is>
          <t>导师辅导会未注明是否限学生</t>
        </is>
      </c>
    </row>
    <row r="129" ht="30" customHeight="1">
      <c r="A129" s="8" t="n">
        <v>128</v>
      </c>
      <c r="B129" s="9" t="inlineStr">
        <is>
          <t>CGI</t>
        </is>
      </c>
      <c r="C129" s="8" t="inlineStr">
        <is>
          <t>C</t>
        </is>
      </c>
      <c r="D129" s="12" t="inlineStr">
        <is>
          <t>图形学与多媒体</t>
        </is>
      </c>
      <c r="E129" s="8" t="inlineStr">
        <is>
          <t>未找到</t>
        </is>
      </c>
      <c r="F129" s="8" t="inlineStr">
        <is>
          <t>未找到</t>
        </is>
      </c>
      <c r="G129" s="10" t="inlineStr">
        <is>
          <t>不限</t>
        </is>
      </c>
      <c r="H129" s="10" t="inlineStr">
        <is>
          <t>未找到</t>
        </is>
      </c>
      <c r="I129" s="8" t="inlineStr">
        <is>
          <t>未找到</t>
        </is>
      </c>
      <c r="J129" s="8" t="inlineStr">
        <is>
          <t>待确认</t>
        </is>
      </c>
      <c r="K129" s="10" t="inlineStr">
        <is>
          <t>未找到</t>
        </is>
      </c>
      <c r="L129" s="10" t="inlineStr">
        <is>
          <t>未找到</t>
        </is>
      </c>
      <c r="M129" s="10" t="inlineStr">
        <is>
          <t>未找到</t>
        </is>
      </c>
      <c r="N129" s="10" t="inlineStr">
        <is>
          <t>https://www.cgs-network.org/cgi27/important-dates/</t>
        </is>
      </c>
      <c r="O129" s="8" t="inlineStr">
        <is>
          <t>低</t>
        </is>
      </c>
      <c r="P129" s="10" t="inlineStr">
        <is>
          <t>仅日期页，无作者政策内容</t>
        </is>
      </c>
    </row>
    <row r="130" ht="30" customHeight="1">
      <c r="A130" s="8" t="n">
        <v>129</v>
      </c>
      <c r="B130" s="9" t="inlineStr">
        <is>
          <t>CVM</t>
        </is>
      </c>
      <c r="C130" s="8" t="inlineStr">
        <is>
          <t>C</t>
        </is>
      </c>
      <c r="D130" s="12" t="inlineStr">
        <is>
          <t>图形学与多媒体</t>
        </is>
      </c>
      <c r="E130" s="8" t="inlineStr">
        <is>
          <t>未找到</t>
        </is>
      </c>
      <c r="F130" s="8" t="inlineStr">
        <is>
          <t>未找到</t>
        </is>
      </c>
      <c r="G130" s="10" t="inlineStr">
        <is>
          <t>不限</t>
        </is>
      </c>
      <c r="H130" s="10" t="inlineStr">
        <is>
          <t>未找到</t>
        </is>
      </c>
      <c r="I130" s="8" t="inlineStr">
        <is>
          <t>未找到</t>
        </is>
      </c>
      <c r="J130" s="8" t="inlineStr">
        <is>
          <t>待确认</t>
        </is>
      </c>
      <c r="K130" s="10" t="inlineStr">
        <is>
          <t>未找到</t>
        </is>
      </c>
      <c r="L130" s="10" t="inlineStr">
        <is>
          <t>未找到</t>
        </is>
      </c>
      <c r="M130" s="10" t="inlineStr">
        <is>
          <t>未找到</t>
        </is>
      </c>
      <c r="N130" s="10" t="inlineStr">
        <is>
          <t>http://iccvm.org/2027/</t>
        </is>
      </c>
      <c r="O130" s="8" t="inlineStr">
        <is>
          <t>低</t>
        </is>
      </c>
      <c r="P130" s="10" t="inlineStr">
        <is>
          <t>仅总览与日期页，无投稿政策</t>
        </is>
      </c>
    </row>
    <row r="131" ht="30" customHeight="1">
      <c r="A131" s="8" t="n">
        <v>130</v>
      </c>
      <c r="B131" s="9" t="inlineStr">
        <is>
          <t>GMP</t>
        </is>
      </c>
      <c r="C131" s="8" t="inlineStr">
        <is>
          <t>C</t>
        </is>
      </c>
      <c r="D131" s="12" t="inlineStr">
        <is>
          <t>图形学与多媒体</t>
        </is>
      </c>
      <c r="E131" s="8" t="inlineStr">
        <is>
          <t>CFP未发布</t>
        </is>
      </c>
      <c r="F131" s="8" t="inlineStr">
        <is>
          <t>CFP未发布</t>
        </is>
      </c>
      <c r="G131" s="10" t="inlineStr">
        <is>
          <t>不限</t>
        </is>
      </c>
      <c r="H131" s="10" t="inlineStr">
        <is>
          <t>—</t>
        </is>
      </c>
      <c r="I131" s="8" t="inlineStr">
        <is>
          <t>—</t>
        </is>
      </c>
      <c r="J131" s="8" t="inlineStr">
        <is>
          <t>—</t>
        </is>
      </c>
      <c r="K131" s="10" t="inlineStr">
        <is>
          <t>—</t>
        </is>
      </c>
      <c r="L131" s="10" t="inlineStr">
        <is>
          <t>—</t>
        </is>
      </c>
      <c r="M131" s="10" t="inlineStr">
        <is>
          <t>—</t>
        </is>
      </c>
      <c r="N131" s="10" t="inlineStr">
        <is>
          <t>—</t>
        </is>
      </c>
      <c r="O131" s="8" t="inlineStr">
        <is>
          <t>高</t>
        </is>
      </c>
      <c r="P131" s="10" t="inlineStr">
        <is>
          <t>2027 CFP 未发布，无 Authors/Submission 页可查</t>
        </is>
      </c>
    </row>
    <row r="132" ht="30" customHeight="1">
      <c r="A132" s="8" t="n">
        <v>131</v>
      </c>
      <c r="B132" s="9" t="inlineStr">
        <is>
          <t>ICIP</t>
        </is>
      </c>
      <c r="C132" s="8" t="inlineStr">
        <is>
          <t>C</t>
        </is>
      </c>
      <c r="D132" s="12" t="inlineStr">
        <is>
          <t>图形学与多媒体</t>
        </is>
      </c>
      <c r="E132" s="8" t="inlineStr">
        <is>
          <t>未找到</t>
        </is>
      </c>
      <c r="F132" s="8" t="inlineStr">
        <is>
          <t>未找到</t>
        </is>
      </c>
      <c r="G132" s="10" t="inlineStr">
        <is>
          <t>不限</t>
        </is>
      </c>
      <c r="H132" s="10" t="inlineStr">
        <is>
          <t>未找到</t>
        </is>
      </c>
      <c r="I132" s="8" t="inlineStr">
        <is>
          <t>未找到</t>
        </is>
      </c>
      <c r="J132" s="8" t="inlineStr">
        <is>
          <t>待确认</t>
        </is>
      </c>
      <c r="K132" s="10" t="inlineStr">
        <is>
          <t>未找到</t>
        </is>
      </c>
      <c r="L132" s="10" t="inlineStr">
        <is>
          <t>未找到</t>
        </is>
      </c>
      <c r="M132" s="10" t="inlineStr">
        <is>
          <t>未提及</t>
        </is>
      </c>
      <c r="N132" s="10" t="inlineStr">
        <is>
          <t>https://2027.ieeeicip.org/</t>
        </is>
      </c>
      <c r="O132" s="8" t="inlineStr">
        <is>
          <t>低</t>
        </is>
      </c>
      <c r="P132" s="10" t="inlineStr">
        <is>
          <t>官网仅倒计时与简介，CFP 未发布</t>
        </is>
      </c>
    </row>
    <row r="133" ht="30" customHeight="1">
      <c r="A133" s="8" t="n">
        <v>132</v>
      </c>
      <c r="B133" s="9" t="inlineStr">
        <is>
          <t>MMM</t>
        </is>
      </c>
      <c r="C133" s="8" t="inlineStr">
        <is>
          <t>C</t>
        </is>
      </c>
      <c r="D133" s="12" t="inlineStr">
        <is>
          <t>图形学与多媒体</t>
        </is>
      </c>
      <c r="E133" s="8" t="inlineStr">
        <is>
          <t>未找到</t>
        </is>
      </c>
      <c r="F133" s="8" t="inlineStr">
        <is>
          <t>未找到</t>
        </is>
      </c>
      <c r="G133" s="10" t="inlineStr">
        <is>
          <t>不限</t>
        </is>
      </c>
      <c r="H133" s="10" t="inlineStr">
        <is>
          <t>未找到</t>
        </is>
      </c>
      <c r="I133" s="8" t="inlineStr">
        <is>
          <t>未找到</t>
        </is>
      </c>
      <c r="J133" s="8" t="inlineStr">
        <is>
          <t>待确认</t>
        </is>
      </c>
      <c r="K133" s="10" t="inlineStr">
        <is>
          <t>未找到</t>
        </is>
      </c>
      <c r="L133" s="10" t="inlineStr">
        <is>
          <t>未找到</t>
        </is>
      </c>
      <c r="M133" s="10" t="inlineStr">
        <is>
          <t>未找到</t>
        </is>
      </c>
      <c r="N133" s="10" t="inlineStr">
        <is>
          <t>https://www.mmm2027.net/</t>
        </is>
      </c>
      <c r="O133" s="8" t="inlineStr">
        <is>
          <t>低</t>
        </is>
      </c>
      <c r="P133" s="10" t="inlineStr">
        <is>
          <t>官网仅首页，CFP子页404</t>
        </is>
      </c>
    </row>
    <row r="134" ht="30" customHeight="1">
      <c r="A134" s="8" t="n">
        <v>133</v>
      </c>
      <c r="B134" s="9" t="inlineStr">
        <is>
          <t>PacificVis</t>
        </is>
      </c>
      <c r="C134" s="8" t="inlineStr">
        <is>
          <t>C</t>
        </is>
      </c>
      <c r="D134" s="12" t="inlineStr">
        <is>
          <t>图形学与多媒体</t>
        </is>
      </c>
      <c r="E134" s="8" t="inlineStr">
        <is>
          <t>未找到</t>
        </is>
      </c>
      <c r="F134" s="8" t="inlineStr">
        <is>
          <t>未找到</t>
        </is>
      </c>
      <c r="G134" s="10" t="inlineStr">
        <is>
          <t>不限</t>
        </is>
      </c>
      <c r="H134" s="10" t="inlineStr">
        <is>
          <t>未找到</t>
        </is>
      </c>
      <c r="I134" s="8" t="inlineStr">
        <is>
          <t>未找到</t>
        </is>
      </c>
      <c r="J134" s="8" t="inlineStr">
        <is>
          <t>待确认</t>
        </is>
      </c>
      <c r="K134" s="10" t="inlineStr">
        <is>
          <t>未找到</t>
        </is>
      </c>
      <c r="L134" s="10" t="inlineStr">
        <is>
          <t>Visual Data Storytelling Contest</t>
        </is>
      </c>
      <c r="M134" s="10" t="inlineStr">
        <is>
          <t>费用表已发布，未见学生条款</t>
        </is>
      </c>
      <c r="N134" s="10" t="inlineStr">
        <is>
          <t>https://pacificvis2027.github.io/</t>
        </is>
      </c>
      <c r="O134" s="8" t="inlineStr">
        <is>
          <t>低</t>
        </is>
      </c>
      <c r="P134" s="10" t="inlineStr">
        <is>
          <t>主页仅公告各 track CFP 已发布，无细则链接</t>
        </is>
      </c>
    </row>
    <row r="135" ht="30" customHeight="1">
      <c r="A135" s="8" t="n">
        <v>134</v>
      </c>
      <c r="B135" s="9" t="inlineStr">
        <is>
          <t>SMI</t>
        </is>
      </c>
      <c r="C135" s="8" t="inlineStr">
        <is>
          <t>C</t>
        </is>
      </c>
      <c r="D135" s="12" t="inlineStr">
        <is>
          <t>图形学与多媒体</t>
        </is>
      </c>
      <c r="E135" s="8" t="inlineStr">
        <is>
          <t>无专属条款</t>
        </is>
      </c>
      <c r="F135" s="8" t="inlineStr">
        <is>
          <t>无</t>
        </is>
      </c>
      <c r="G135" s="10" t="inlineStr">
        <is>
          <t>不限</t>
        </is>
      </c>
      <c r="H135" s="10" t="inlineStr">
        <is>
          <t>无审稿义务</t>
        </is>
      </c>
      <c r="I135" s="8" t="inlineStr">
        <is>
          <t>无</t>
        </is>
      </c>
      <c r="J135" s="8" t="inlineStr">
        <is>
          <t>不强制</t>
        </is>
      </c>
      <c r="K135" s="10" t="inlineStr">
        <is>
          <t>无门槛</t>
        </is>
      </c>
      <c r="L135" s="10" t="inlineStr">
        <is>
          <t>无</t>
        </is>
      </c>
      <c r="M135" s="10" t="inlineStr">
        <is>
          <t>未提及</t>
        </is>
      </c>
      <c r="N135" s="10" t="inlineStr">
        <is>
          <t>https://smiconf.github.io/2027/</t>
        </is>
      </c>
      <c r="O135" s="8" t="inlineStr">
        <is>
          <t>中</t>
        </is>
      </c>
      <c r="P135" s="10" t="inlineStr">
        <is>
          <t>注册费与投稿系统称2027年公布</t>
        </is>
      </c>
    </row>
    <row r="136" ht="30" customHeight="1">
      <c r="A136" s="8" t="n">
        <v>135</v>
      </c>
      <c r="B136" s="9" t="inlineStr">
        <is>
          <t>FSCD</t>
        </is>
      </c>
      <c r="C136" s="8" t="inlineStr">
        <is>
          <t>C</t>
        </is>
      </c>
      <c r="D136" s="12" t="inlineStr">
        <is>
          <t>计算机科学理论</t>
        </is>
      </c>
      <c r="E136" s="8" t="inlineStr">
        <is>
          <t>有专属条款</t>
        </is>
      </c>
      <c r="F136" s="8" t="inlineStr">
        <is>
          <t>只有利好通道</t>
        </is>
      </c>
      <c r="G136" s="10" t="inlineStr">
        <is>
          <t>不限</t>
        </is>
      </c>
      <c r="H136" s="10" t="inlineStr">
        <is>
          <t>无审稿义务</t>
        </is>
      </c>
      <c r="I136" s="8" t="inlineStr">
        <is>
          <t>无</t>
        </is>
      </c>
      <c r="J136" s="8" t="inlineStr">
        <is>
          <t>不强制</t>
        </is>
      </c>
      <c r="K136" s="10" t="inlineStr">
        <is>
          <t>无门槛</t>
        </is>
      </c>
      <c r="L136" s="10" t="inlineStr">
        <is>
          <t>CADE最佳学生论文奖</t>
        </is>
      </c>
      <c r="M136" s="10" t="inlineStr">
        <is>
          <t>未提及</t>
        </is>
      </c>
      <c r="N136" s="10" t="inlineStr">
        <is>
          <t>https://fscd-cade.science.ru.nl/calls/papers-cade</t>
        </is>
      </c>
      <c r="O136" s="8" t="inlineStr">
        <is>
          <t>高</t>
        </is>
      </c>
      <c r="P136" s="10" t="inlineStr">
        <is>
          <t>至少一名作者为学生方可参评</t>
        </is>
      </c>
    </row>
    <row r="137" ht="30" customHeight="1">
      <c r="A137" s="8" t="n">
        <v>136</v>
      </c>
      <c r="B137" s="9" t="inlineStr">
        <is>
          <t>ECIR</t>
        </is>
      </c>
      <c r="C137" s="8" t="inlineStr">
        <is>
          <t>C</t>
        </is>
      </c>
      <c r="D137" s="12" t="inlineStr">
        <is>
          <t>数据库/数据挖掘</t>
        </is>
      </c>
      <c r="E137" s="8" t="inlineStr">
        <is>
          <t>有专属条款</t>
        </is>
      </c>
      <c r="F137" s="8" t="inlineStr">
        <is>
          <t>只有利好通道</t>
        </is>
      </c>
      <c r="G137" s="10" t="inlineStr">
        <is>
          <t>不限</t>
        </is>
      </c>
      <c r="H137" s="10" t="inlineStr">
        <is>
          <t>无审稿义务</t>
        </is>
      </c>
      <c r="I137" s="8" t="inlineStr">
        <is>
          <t>无</t>
        </is>
      </c>
      <c r="J137" s="8" t="inlineStr">
        <is>
          <t>不强制</t>
        </is>
      </c>
      <c r="K137" s="10" t="inlineStr">
        <is>
          <t>无门槛</t>
        </is>
      </c>
      <c r="L137" s="10" t="inlineStr">
        <is>
          <t>Doctoral Consortium</t>
        </is>
      </c>
      <c r="M137" s="10" t="inlineStr">
        <is>
          <t>未提及</t>
        </is>
      </c>
      <c r="N137" s="10" t="inlineStr">
        <is>
          <t>https://www.ecir2027.co.uk/call-for-full-papers</t>
        </is>
      </c>
      <c r="O137" s="8" t="inlineStr">
        <is>
          <t>高</t>
        </is>
      </c>
      <c r="P137" s="10" t="inlineStr">
        <is>
          <t>官网明确欢迎博士生与博后投稿</t>
        </is>
      </c>
    </row>
    <row r="138" ht="30" customHeight="1">
      <c r="A138" s="8" t="n">
        <v>137</v>
      </c>
      <c r="B138" s="9" t="inlineStr">
        <is>
          <t>ESWC</t>
        </is>
      </c>
      <c r="C138" s="8" t="inlineStr">
        <is>
          <t>C</t>
        </is>
      </c>
      <c r="D138" s="12" t="inlineStr">
        <is>
          <t>数据库/数据挖掘</t>
        </is>
      </c>
      <c r="E138" s="8" t="inlineStr">
        <is>
          <t>CFP未发布</t>
        </is>
      </c>
      <c r="F138" s="8" t="inlineStr">
        <is>
          <t>CFP未发布</t>
        </is>
      </c>
      <c r="G138" s="10" t="inlineStr">
        <is>
          <t>不限</t>
        </is>
      </c>
      <c r="H138" s="10" t="inlineStr">
        <is>
          <t>—</t>
        </is>
      </c>
      <c r="I138" s="8" t="inlineStr">
        <is>
          <t>—</t>
        </is>
      </c>
      <c r="J138" s="8" t="inlineStr">
        <is>
          <t>—</t>
        </is>
      </c>
      <c r="K138" s="10" t="inlineStr">
        <is>
          <t>—</t>
        </is>
      </c>
      <c r="L138" s="10" t="inlineStr">
        <is>
          <t>—</t>
        </is>
      </c>
      <c r="M138" s="10" t="inlineStr">
        <is>
          <t>—</t>
        </is>
      </c>
      <c r="N138" s="10" t="inlineStr">
        <is>
          <t>—</t>
        </is>
      </c>
      <c r="O138" s="8" t="inlineStr">
        <is>
          <t>高</t>
        </is>
      </c>
      <c r="P138" s="10" t="inlineStr">
        <is>
          <t>2027 CFP 未发布，无 Authors/Submission 页可查</t>
        </is>
      </c>
    </row>
    <row r="139" ht="30" customHeight="1">
      <c r="A139" s="8" t="n">
        <v>138</v>
      </c>
      <c r="B139" s="9" t="inlineStr">
        <is>
          <t>PAKDD</t>
        </is>
      </c>
      <c r="C139" s="8" t="inlineStr">
        <is>
          <t>C</t>
        </is>
      </c>
      <c r="D139" s="12" t="inlineStr">
        <is>
          <t>数据库/数据挖掘</t>
        </is>
      </c>
      <c r="E139" s="8" t="inlineStr">
        <is>
          <t>CFP未发布</t>
        </is>
      </c>
      <c r="F139" s="8" t="inlineStr">
        <is>
          <t>CFP未发布</t>
        </is>
      </c>
      <c r="G139" s="10" t="inlineStr">
        <is>
          <t>不限</t>
        </is>
      </c>
      <c r="H139" s="10" t="inlineStr">
        <is>
          <t>—</t>
        </is>
      </c>
      <c r="I139" s="8" t="inlineStr">
        <is>
          <t>—</t>
        </is>
      </c>
      <c r="J139" s="8" t="inlineStr">
        <is>
          <t>—</t>
        </is>
      </c>
      <c r="K139" s="10" t="inlineStr">
        <is>
          <t>—</t>
        </is>
      </c>
      <c r="L139" s="10" t="inlineStr">
        <is>
          <t>—</t>
        </is>
      </c>
      <c r="M139" s="10" t="inlineStr">
        <is>
          <t>—</t>
        </is>
      </c>
      <c r="N139" s="10" t="inlineStr">
        <is>
          <t>—</t>
        </is>
      </c>
      <c r="O139" s="8" t="inlineStr">
        <is>
          <t>高</t>
        </is>
      </c>
      <c r="P139" s="10" t="inlineStr">
        <is>
          <t>2027 CFP 未发布，无 Authors/Submission 页可查</t>
        </is>
      </c>
    </row>
    <row r="140" ht="30" customHeight="1">
      <c r="A140" s="8" t="n">
        <v>139</v>
      </c>
      <c r="B140" s="9" t="inlineStr">
        <is>
          <t>ASP-DAC</t>
        </is>
      </c>
      <c r="C140" s="8" t="inlineStr">
        <is>
          <t>C</t>
        </is>
      </c>
      <c r="D140" s="12" t="inlineStr">
        <is>
          <t>体系结构/并行/存储</t>
        </is>
      </c>
      <c r="E140" s="8" t="inlineStr">
        <is>
          <t>有专属条款</t>
        </is>
      </c>
      <c r="F140" s="8" t="inlineStr">
        <is>
          <t>有硬性要求</t>
        </is>
      </c>
      <c r="G140" s="10" t="inlineStr">
        <is>
          <t>不限</t>
        </is>
      </c>
      <c r="H140" s="10" t="inlineStr">
        <is>
          <t>无审稿义务</t>
        </is>
      </c>
      <c r="I140" s="8" t="inlineStr">
        <is>
          <t>无</t>
        </is>
      </c>
      <c r="J140" s="8" t="inlineStr">
        <is>
          <t>不强制</t>
        </is>
      </c>
      <c r="K140" s="10" t="inlineStr">
        <is>
          <t>全体作者须有ORCID与有效邮箱</t>
        </is>
      </c>
      <c r="L140" s="10" t="inlineStr">
        <is>
          <t>无</t>
        </is>
      </c>
      <c r="M140" s="10" t="inlineStr">
        <is>
          <t>未提及</t>
        </is>
      </c>
      <c r="N140" s="10" t="inlineStr">
        <is>
          <t>https://www.aspdac.com/aspdac2027/author/</t>
        </is>
      </c>
      <c r="O140" s="8" t="inlineStr">
        <is>
          <t>高</t>
        </is>
      </c>
      <c r="P140" s="10" t="inlineStr">
        <is>
          <t>投稿后不得改作者名单与顺序</t>
        </is>
      </c>
    </row>
    <row r="141" ht="30" customHeight="1">
      <c r="A141" s="8" t="n">
        <v>140</v>
      </c>
      <c r="B141" s="9" t="inlineStr">
        <is>
          <t>CCGRID</t>
        </is>
      </c>
      <c r="C141" s="8" t="inlineStr">
        <is>
          <t>C</t>
        </is>
      </c>
      <c r="D141" s="12" t="inlineStr">
        <is>
          <t>体系结构/并行/存储</t>
        </is>
      </c>
      <c r="E141" s="8" t="inlineStr">
        <is>
          <t>有专属条款</t>
        </is>
      </c>
      <c r="F141" s="8" t="inlineStr">
        <is>
          <t>只有利好通道</t>
        </is>
      </c>
      <c r="G141" s="10" t="inlineStr">
        <is>
          <t>不限</t>
        </is>
      </c>
      <c r="H141" s="10" t="inlineStr">
        <is>
          <t>无审稿义务</t>
        </is>
      </c>
      <c r="I141" s="8" t="inlineStr">
        <is>
          <t>无</t>
        </is>
      </c>
      <c r="J141" s="8" t="inlineStr">
        <is>
          <t>不强制</t>
        </is>
      </c>
      <c r="K141" s="10" t="inlineStr">
        <is>
          <t>无门槛</t>
        </is>
      </c>
      <c r="L141" s="10" t="inlineStr">
        <is>
          <t>Doctoral Symposium, Early Career Track</t>
        </is>
      </c>
      <c r="M141" s="10" t="inlineStr">
        <is>
          <t>未提及</t>
        </is>
      </c>
      <c r="N141" s="10" t="inlineStr">
        <is>
          <t>https://hpcclab.org/ccgrid27/</t>
        </is>
      </c>
      <c r="O141" s="8" t="inlineStr">
        <is>
          <t>高</t>
        </is>
      </c>
      <c r="P141" s="10" t="inlineStr">
        <is>
          <t>2026-09-16发布该专项征稿</t>
        </is>
      </c>
    </row>
    <row r="142" ht="30" customHeight="1">
      <c r="A142" s="8" t="n">
        <v>141</v>
      </c>
      <c r="B142" s="9" t="inlineStr">
        <is>
          <t>ETS</t>
        </is>
      </c>
      <c r="C142" s="8" t="inlineStr">
        <is>
          <t>C</t>
        </is>
      </c>
      <c r="D142" s="12" t="inlineStr">
        <is>
          <t>体系结构/并行/存储</t>
        </is>
      </c>
      <c r="E142" s="8" t="inlineStr">
        <is>
          <t>CFP未发布</t>
        </is>
      </c>
      <c r="F142" s="8" t="inlineStr">
        <is>
          <t>CFP未发布</t>
        </is>
      </c>
      <c r="G142" s="10" t="inlineStr">
        <is>
          <t>不限</t>
        </is>
      </c>
      <c r="H142" s="10" t="inlineStr">
        <is>
          <t>—</t>
        </is>
      </c>
      <c r="I142" s="8" t="inlineStr">
        <is>
          <t>—</t>
        </is>
      </c>
      <c r="J142" s="8" t="inlineStr">
        <is>
          <t>—</t>
        </is>
      </c>
      <c r="K142" s="10" t="inlineStr">
        <is>
          <t>—</t>
        </is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8" t="inlineStr">
        <is>
          <t>高</t>
        </is>
      </c>
      <c r="P142" s="10" t="inlineStr">
        <is>
          <t>2027 CFP 未发布，无 Authors/Submission 页可查</t>
        </is>
      </c>
    </row>
    <row r="143" ht="30" customHeight="1">
      <c r="A143" s="8" t="n">
        <v>142</v>
      </c>
      <c r="B143" s="9" t="inlineStr">
        <is>
          <t>ISPD</t>
        </is>
      </c>
      <c r="C143" s="8" t="inlineStr">
        <is>
          <t>C</t>
        </is>
      </c>
      <c r="D143" s="12" t="inlineStr">
        <is>
          <t>体系结构/并行/存储</t>
        </is>
      </c>
      <c r="E143" s="8" t="inlineStr">
        <is>
          <t>未找到</t>
        </is>
      </c>
      <c r="F143" s="8" t="inlineStr">
        <is>
          <t>未找到</t>
        </is>
      </c>
      <c r="G143" s="10" t="inlineStr">
        <is>
          <t>不限</t>
        </is>
      </c>
      <c r="H143" s="10" t="inlineStr">
        <is>
          <t>未找到</t>
        </is>
      </c>
      <c r="I143" s="8" t="inlineStr">
        <is>
          <t>未找到</t>
        </is>
      </c>
      <c r="J143" s="8" t="inlineStr">
        <is>
          <t>待确认</t>
        </is>
      </c>
      <c r="K143" s="10" t="inlineStr">
        <is>
          <t>未找到</t>
        </is>
      </c>
      <c r="L143" s="10" t="inlineStr">
        <is>
          <t>未找到</t>
        </is>
      </c>
      <c r="M143" s="10" t="inlineStr">
        <is>
          <t>未找到</t>
        </is>
      </c>
      <c r="N143" s="10" t="inlineStr">
        <is>
          <t>https://ispd.cc/ispd2027/</t>
        </is>
      </c>
      <c r="O143" s="8" t="inlineStr">
        <is>
          <t>低</t>
        </is>
      </c>
      <c r="P143" s="10" t="inlineStr">
        <is>
          <t>仅首页与日期，无作者政策页</t>
        </is>
      </c>
    </row>
    <row r="144" ht="30" customHeight="1">
      <c r="A144" s="8" t="n">
        <v>143</v>
      </c>
      <c r="B144" s="9" t="inlineStr">
        <is>
          <t>CSCWD</t>
        </is>
      </c>
      <c r="C144" s="8" t="inlineStr">
        <is>
          <t>C</t>
        </is>
      </c>
      <c r="D144" s="12" t="inlineStr">
        <is>
          <t>人机交互与普适计算</t>
        </is>
      </c>
      <c r="E144" s="8" t="inlineStr">
        <is>
          <t>未找到</t>
        </is>
      </c>
      <c r="F144" s="8" t="inlineStr">
        <is>
          <t>未找到</t>
        </is>
      </c>
      <c r="G144" s="10" t="inlineStr">
        <is>
          <t>不限</t>
        </is>
      </c>
      <c r="H144" s="10" t="inlineStr">
        <is>
          <t>未找到</t>
        </is>
      </c>
      <c r="I144" s="8" t="inlineStr">
        <is>
          <t>未找到</t>
        </is>
      </c>
      <c r="J144" s="8" t="inlineStr">
        <is>
          <t>待确认</t>
        </is>
      </c>
      <c r="K144" s="10" t="inlineStr">
        <is>
          <t>未找到</t>
        </is>
      </c>
      <c r="L144" s="10" t="inlineStr">
        <is>
          <t>未找到</t>
        </is>
      </c>
      <c r="M144" s="10" t="inlineStr">
        <is>
          <t>未提及</t>
        </is>
      </c>
      <c r="N144" s="10" t="inlineStr">
        <is>
          <t>—</t>
        </is>
      </c>
      <c r="O144" s="8" t="inlineStr">
        <is>
          <t>低</t>
        </is>
      </c>
      <c r="P144" s="10" t="inlineStr">
        <is>
          <t>官网 2027 不可达，无 CFP 原文</t>
        </is>
      </c>
    </row>
    <row r="145" ht="30" customHeight="1">
      <c r="A145" s="8" t="n">
        <v>144</v>
      </c>
      <c r="B145" s="9" t="inlineStr">
        <is>
          <t>DIS</t>
        </is>
      </c>
      <c r="C145" s="8" t="inlineStr">
        <is>
          <t>C</t>
        </is>
      </c>
      <c r="D145" s="12" t="inlineStr">
        <is>
          <t>人机交互与普适计算</t>
        </is>
      </c>
      <c r="E145" s="8" t="inlineStr">
        <is>
          <t>CFP未发布</t>
        </is>
      </c>
      <c r="F145" s="8" t="inlineStr">
        <is>
          <t>CFP未发布</t>
        </is>
      </c>
      <c r="G145" s="10" t="inlineStr">
        <is>
          <t>不限</t>
        </is>
      </c>
      <c r="H145" s="10" t="inlineStr">
        <is>
          <t>—</t>
        </is>
      </c>
      <c r="I145" s="8" t="inlineStr">
        <is>
          <t>—</t>
        </is>
      </c>
      <c r="J145" s="8" t="inlineStr">
        <is>
          <t>—</t>
        </is>
      </c>
      <c r="K145" s="10" t="inlineStr">
        <is>
          <t>—</t>
        </is>
      </c>
      <c r="L145" s="10" t="inlineStr">
        <is>
          <t>—</t>
        </is>
      </c>
      <c r="M145" s="10" t="inlineStr">
        <is>
          <t>—</t>
        </is>
      </c>
      <c r="N145" s="10" t="inlineStr">
        <is>
          <t>—</t>
        </is>
      </c>
      <c r="O145" s="8" t="inlineStr">
        <is>
          <t>高</t>
        </is>
      </c>
      <c r="P145" s="10" t="inlineStr">
        <is>
          <t>2027 CFP 未发布，无 Authors/Submission 页可查</t>
        </is>
      </c>
    </row>
    <row r="146" ht="30" customHeight="1">
      <c r="A146" s="8" t="n">
        <v>145</v>
      </c>
      <c r="B146" s="9" t="inlineStr">
        <is>
          <t>GI</t>
        </is>
      </c>
      <c r="C146" s="8" t="inlineStr">
        <is>
          <t>C</t>
        </is>
      </c>
      <c r="D146" s="12" t="inlineStr">
        <is>
          <t>人机交互与普适计算</t>
        </is>
      </c>
      <c r="E146" s="8" t="inlineStr">
        <is>
          <t>CFP未发布</t>
        </is>
      </c>
      <c r="F146" s="8" t="inlineStr">
        <is>
          <t>CFP未发布</t>
        </is>
      </c>
      <c r="G146" s="10" t="inlineStr">
        <is>
          <t>不限</t>
        </is>
      </c>
      <c r="H146" s="10" t="inlineStr">
        <is>
          <t>—</t>
        </is>
      </c>
      <c r="I146" s="8" t="inlineStr">
        <is>
          <t>—</t>
        </is>
      </c>
      <c r="J146" s="8" t="inlineStr">
        <is>
          <t>—</t>
        </is>
      </c>
      <c r="K146" s="10" t="inlineStr">
        <is>
          <t>—</t>
        </is>
      </c>
      <c r="L146" s="10" t="inlineStr">
        <is>
          <t>—</t>
        </is>
      </c>
      <c r="M146" s="10" t="inlineStr">
        <is>
          <t>—</t>
        </is>
      </c>
      <c r="N146" s="10" t="inlineStr">
        <is>
          <t>—</t>
        </is>
      </c>
      <c r="O146" s="8" t="inlineStr">
        <is>
          <t>高</t>
        </is>
      </c>
      <c r="P146" s="10" t="inlineStr">
        <is>
          <t>2027 CFP 未发布，无 Authors/Submission 页可查</t>
        </is>
      </c>
    </row>
    <row r="147" ht="30" customHeight="1">
      <c r="A147" s="8" t="n">
        <v>146</v>
      </c>
      <c r="B147" s="9" t="inlineStr">
        <is>
          <t>IDC</t>
        </is>
      </c>
      <c r="C147" s="8" t="inlineStr">
        <is>
          <t>C</t>
        </is>
      </c>
      <c r="D147" s="12" t="inlineStr">
        <is>
          <t>人机交互与普适计算</t>
        </is>
      </c>
      <c r="E147" s="8" t="inlineStr">
        <is>
          <t>有专属条款</t>
        </is>
      </c>
      <c r="F147" s="8" t="inlineStr">
        <is>
          <t>只有利好通道</t>
        </is>
      </c>
      <c r="G147" s="10" t="inlineStr">
        <is>
          <t>不限</t>
        </is>
      </c>
      <c r="H147" s="10" t="inlineStr">
        <is>
          <t>无审稿义务</t>
        </is>
      </c>
      <c r="I147" s="8" t="inlineStr">
        <is>
          <t>无</t>
        </is>
      </c>
      <c r="J147" s="8" t="inlineStr">
        <is>
          <t>不强制</t>
        </is>
      </c>
      <c r="K147" s="10" t="inlineStr">
        <is>
          <t>无门槛</t>
        </is>
      </c>
      <c r="L147" s="10" t="inlineStr">
        <is>
          <t>Doctoral Consortium, Research and Design Challenge</t>
        </is>
      </c>
      <c r="M147" s="10" t="inlineStr">
        <is>
          <t>未提及</t>
        </is>
      </c>
      <c r="N147" s="10" t="inlineStr">
        <is>
          <t>https://idc.acm.org/2027/</t>
        </is>
      </c>
      <c r="O147" s="8" t="inlineStr">
        <is>
          <t>高</t>
        </is>
      </c>
      <c r="P147" s="10" t="inlineStr"/>
    </row>
    <row r="148" ht="30" customHeight="1">
      <c r="A148" s="8" t="n">
        <v>147</v>
      </c>
      <c r="B148" s="9" t="inlineStr">
        <is>
          <t>INTERACT</t>
        </is>
      </c>
      <c r="C148" s="8" t="inlineStr">
        <is>
          <t>C</t>
        </is>
      </c>
      <c r="D148" s="12" t="inlineStr">
        <is>
          <t>人机交互与普适计算</t>
        </is>
      </c>
      <c r="E148" s="8" t="inlineStr">
        <is>
          <t>有专属条款</t>
        </is>
      </c>
      <c r="F148" s="8" t="inlineStr">
        <is>
          <t>只有利好通道</t>
        </is>
      </c>
      <c r="G148" s="10" t="inlineStr">
        <is>
          <t>不限</t>
        </is>
      </c>
      <c r="H148" s="10" t="inlineStr">
        <is>
          <t>无审稿义务</t>
        </is>
      </c>
      <c r="I148" s="8" t="inlineStr">
        <is>
          <t>无</t>
        </is>
      </c>
      <c r="J148" s="8" t="inlineStr">
        <is>
          <t>不强制</t>
        </is>
      </c>
      <c r="K148" s="10" t="inlineStr">
        <is>
          <t>无门槛</t>
        </is>
      </c>
      <c r="L148" s="10" t="inlineStr">
        <is>
          <t>Doctoral Consortium</t>
        </is>
      </c>
      <c r="M148" s="10" t="inlineStr">
        <is>
          <t>未提及</t>
        </is>
      </c>
      <c r="N148" s="10" t="inlineStr">
        <is>
          <t>https://interact2027.org/</t>
        </is>
      </c>
      <c r="O148" s="8" t="inlineStr">
        <is>
          <t>高</t>
        </is>
      </c>
      <c r="P148" s="10" t="inlineStr">
        <is>
          <t>DC与短文等同期截止</t>
        </is>
      </c>
    </row>
    <row r="149" ht="30" customHeight="1">
      <c r="A149" s="8" t="n">
        <v>148</v>
      </c>
      <c r="B149" s="9" t="inlineStr">
        <is>
          <t>WHC</t>
        </is>
      </c>
      <c r="C149" s="8" t="inlineStr">
        <is>
          <t>C</t>
        </is>
      </c>
      <c r="D149" s="12" t="inlineStr">
        <is>
          <t>人机交互与普适计算</t>
        </is>
      </c>
      <c r="E149" s="8" t="inlineStr">
        <is>
          <t>有专属条款</t>
        </is>
      </c>
      <c r="F149" s="8" t="inlineStr">
        <is>
          <t>只有利好通道</t>
        </is>
      </c>
      <c r="G149" s="10" t="inlineStr">
        <is>
          <t>不限</t>
        </is>
      </c>
      <c r="H149" s="10" t="inlineStr">
        <is>
          <t>无审稿义务</t>
        </is>
      </c>
      <c r="I149" s="8" t="inlineStr">
        <is>
          <t>无</t>
        </is>
      </c>
      <c r="J149" s="8" t="inlineStr">
        <is>
          <t>不强制</t>
        </is>
      </c>
      <c r="K149" s="10" t="inlineStr">
        <is>
          <t>无门槛</t>
        </is>
      </c>
      <c r="L149" s="10" t="inlineStr">
        <is>
          <t>Student Innovation Challenge</t>
        </is>
      </c>
      <c r="M149" s="10" t="inlineStr">
        <is>
          <t>未提及</t>
        </is>
      </c>
      <c r="N149" s="10" t="inlineStr">
        <is>
          <t>https://2027.worldhaptics.org/</t>
        </is>
      </c>
      <c r="O149" s="8" t="inlineStr">
        <is>
          <t>高</t>
        </is>
      </c>
      <c r="P149" s="10" t="inlineStr">
        <is>
          <t>另有 Work-in-Progress、Demo 通道</t>
        </is>
      </c>
    </row>
    <row r="150" ht="30" customHeight="1">
      <c r="A150" s="8" t="n">
        <v>149</v>
      </c>
      <c r="B150" s="9" t="inlineStr">
        <is>
          <t>ICIC</t>
        </is>
      </c>
      <c r="C150" s="8" t="inlineStr">
        <is>
          <t>C</t>
        </is>
      </c>
      <c r="D150" s="12" t="inlineStr">
        <is>
          <t>交叉/综合/新兴</t>
        </is>
      </c>
      <c r="E150" s="8" t="inlineStr">
        <is>
          <t>未找到</t>
        </is>
      </c>
      <c r="F150" s="8" t="inlineStr">
        <is>
          <t>未找到</t>
        </is>
      </c>
      <c r="G150" s="10" t="inlineStr">
        <is>
          <t>不限</t>
        </is>
      </c>
      <c r="H150" s="10" t="inlineStr">
        <is>
          <t>未找到</t>
        </is>
      </c>
      <c r="I150" s="8" t="inlineStr">
        <is>
          <t>未找到</t>
        </is>
      </c>
      <c r="J150" s="8" t="inlineStr">
        <is>
          <t>待确认</t>
        </is>
      </c>
      <c r="K150" s="10" t="inlineStr">
        <is>
          <t>未找到</t>
        </is>
      </c>
      <c r="L150" s="10" t="inlineStr">
        <is>
          <t>未找到</t>
        </is>
      </c>
      <c r="M150" s="10" t="inlineStr">
        <is>
          <t>未提及</t>
        </is>
      </c>
      <c r="N150" s="10" t="inlineStr">
        <is>
          <t>—</t>
        </is>
      </c>
      <c r="O150" s="8" t="inlineStr">
        <is>
          <t>低</t>
        </is>
      </c>
      <c r="P150" s="10" t="inlineStr">
        <is>
          <t>官网 2027 不可达，无 CFP 原文</t>
        </is>
      </c>
    </row>
    <row r="151" ht="30" customHeight="1">
      <c r="A151" s="8" t="n">
        <v>150</v>
      </c>
      <c r="B151" s="9" t="inlineStr">
        <is>
          <t>ICC</t>
        </is>
      </c>
      <c r="C151" s="8" t="inlineStr">
        <is>
          <t>C</t>
        </is>
      </c>
      <c r="D151" s="12" t="inlineStr">
        <is>
          <t>计算机网络</t>
        </is>
      </c>
      <c r="E151" s="8" t="inlineStr">
        <is>
          <t>无专属条款</t>
        </is>
      </c>
      <c r="F151" s="8" t="inlineStr">
        <is>
          <t>无</t>
        </is>
      </c>
      <c r="G151" s="10" t="inlineStr">
        <is>
          <t>不限</t>
        </is>
      </c>
      <c r="H151" s="10" t="inlineStr">
        <is>
          <t>无审稿义务</t>
        </is>
      </c>
      <c r="I151" s="8" t="inlineStr">
        <is>
          <t>无</t>
        </is>
      </c>
      <c r="J151" s="8" t="inlineStr">
        <is>
          <t>不强制</t>
        </is>
      </c>
      <c r="K151" s="10" t="inlineStr">
        <is>
          <t>EDAS 账号提交，无额外门槛</t>
        </is>
      </c>
      <c r="L151" s="10" t="inlineStr">
        <is>
          <t>无</t>
        </is>
      </c>
      <c r="M151" s="10" t="inlineStr">
        <is>
          <t>未提及</t>
        </is>
      </c>
      <c r="N151" s="10" t="inlineStr">
        <is>
          <t>https://icc2027.ieee-icc.org/authors/call-symposium-papers</t>
        </is>
      </c>
      <c r="O151" s="8" t="inlineStr">
        <is>
          <t>中</t>
        </is>
      </c>
      <c r="P151" s="10" t="inlineStr">
        <is>
          <t>仅设 Spotlight/Best Paper，无学生条款</t>
        </is>
      </c>
    </row>
    <row r="152" ht="30" customHeight="1">
      <c r="A152" s="8" t="n">
        <v>151</v>
      </c>
      <c r="B152" s="9" t="inlineStr">
        <is>
          <t>ICCCN</t>
        </is>
      </c>
      <c r="C152" s="8" t="inlineStr">
        <is>
          <t>C</t>
        </is>
      </c>
      <c r="D152" s="12" t="inlineStr">
        <is>
          <t>计算机网络</t>
        </is>
      </c>
      <c r="E152" s="8" t="inlineStr">
        <is>
          <t>无专属条款</t>
        </is>
      </c>
      <c r="F152" s="8" t="inlineStr">
        <is>
          <t>无</t>
        </is>
      </c>
      <c r="G152" s="10" t="inlineStr">
        <is>
          <t>不限</t>
        </is>
      </c>
      <c r="H152" s="10" t="inlineStr">
        <is>
          <t>无审稿义务</t>
        </is>
      </c>
      <c r="I152" s="8" t="inlineStr">
        <is>
          <t>无</t>
        </is>
      </c>
      <c r="J152" s="8" t="inlineStr">
        <is>
          <t>不强制</t>
        </is>
      </c>
      <c r="K152" s="10" t="inlineStr">
        <is>
          <t>EasyChair 账号，无额外门槛</t>
        </is>
      </c>
      <c r="L152" s="10" t="inlineStr">
        <is>
          <t>无</t>
        </is>
      </c>
      <c r="M152" s="10" t="inlineStr">
        <is>
          <t>未提及</t>
        </is>
      </c>
      <c r="N152" s="10" t="inlineStr">
        <is>
          <t>http://www.icccn.org/icccn27/call-for-papers/index.html</t>
        </is>
      </c>
      <c r="O152" s="8" t="inlineStr">
        <is>
          <t>高</t>
        </is>
      </c>
      <c r="P152" s="10" t="inlineStr">
        <is>
          <t>设 Best Paper；边缘稿可转 short paper</t>
        </is>
      </c>
    </row>
    <row r="153" ht="30" customHeight="1">
      <c r="A153" s="8" t="n">
        <v>152</v>
      </c>
      <c r="B153" s="9" t="inlineStr">
        <is>
          <t>WCNC</t>
        </is>
      </c>
      <c r="C153" s="8" t="inlineStr">
        <is>
          <t>C</t>
        </is>
      </c>
      <c r="D153" s="12" t="inlineStr">
        <is>
          <t>计算机网络</t>
        </is>
      </c>
      <c r="E153" s="8" t="inlineStr">
        <is>
          <t>无专属条款</t>
        </is>
      </c>
      <c r="F153" s="8" t="inlineStr">
        <is>
          <t>无</t>
        </is>
      </c>
      <c r="G153" s="10" t="inlineStr">
        <is>
          <t>不限</t>
        </is>
      </c>
      <c r="H153" s="10" t="inlineStr">
        <is>
          <t>无审稿义务</t>
        </is>
      </c>
      <c r="I153" s="8" t="inlineStr">
        <is>
          <t>无</t>
        </is>
      </c>
      <c r="J153" s="8" t="inlineStr">
        <is>
          <t>不强制</t>
        </is>
      </c>
      <c r="K153" s="10" t="inlineStr">
        <is>
          <t>无门槛</t>
        </is>
      </c>
      <c r="L153" s="10" t="inlineStr">
        <is>
          <t>无</t>
        </is>
      </c>
      <c r="M153" s="10" t="inlineStr">
        <is>
          <t>未提及</t>
        </is>
      </c>
      <c r="N153" s="10" t="inlineStr">
        <is>
          <t>https://wcnc2027.ieee-wcnc.org/authors/call-papers</t>
        </is>
      </c>
      <c r="O153" s="8" t="inlineStr">
        <is>
          <t>中</t>
        </is>
      </c>
      <c r="P153" s="10" t="inlineStr">
        <is>
          <t>已读 Authors 与 CFP 页，未见 A–F 条款</t>
        </is>
      </c>
    </row>
    <row r="154" ht="30" customHeight="1">
      <c r="A154" s="8" t="n">
        <v>153</v>
      </c>
      <c r="B154" s="9" t="inlineStr">
        <is>
          <t>WoWMoM</t>
        </is>
      </c>
      <c r="C154" s="8" t="inlineStr">
        <is>
          <t>C</t>
        </is>
      </c>
      <c r="D154" s="12" t="inlineStr">
        <is>
          <t>计算机网络</t>
        </is>
      </c>
      <c r="E154" s="8" t="inlineStr">
        <is>
          <t>无专属条款</t>
        </is>
      </c>
      <c r="F154" s="8" t="inlineStr">
        <is>
          <t>无</t>
        </is>
      </c>
      <c r="G154" s="10" t="inlineStr">
        <is>
          <t>不限</t>
        </is>
      </c>
      <c r="H154" s="10" t="inlineStr">
        <is>
          <t>无审稿义务</t>
        </is>
      </c>
      <c r="I154" s="8" t="inlineStr">
        <is>
          <t>无</t>
        </is>
      </c>
      <c r="J154" s="8" t="inlineStr">
        <is>
          <t>不强制</t>
        </is>
      </c>
      <c r="K154" s="10" t="inlineStr">
        <is>
          <t>无门槛</t>
        </is>
      </c>
      <c r="L154" s="10" t="inlineStr">
        <is>
          <t>无</t>
        </is>
      </c>
      <c r="M154" s="10" t="inlineStr">
        <is>
          <t>未提及</t>
        </is>
      </c>
      <c r="N154" s="10" t="inlineStr">
        <is>
          <t>https://wowmom2027.dii.unipi.it/call-for-papers.html</t>
        </is>
      </c>
      <c r="O154" s="8" t="inlineStr">
        <is>
          <t>中</t>
        </is>
      </c>
      <c r="P154" s="10" t="inlineStr">
        <is>
          <t>有 WIP 通道，非学生专属</t>
        </is>
      </c>
    </row>
    <row r="155" ht="30" customHeight="1">
      <c r="A155" s="8" t="n">
        <v>154</v>
      </c>
      <c r="B155" s="9" t="inlineStr">
        <is>
          <t>ACISP</t>
        </is>
      </c>
      <c r="C155" s="8" t="inlineStr">
        <is>
          <t>C</t>
        </is>
      </c>
      <c r="D155" s="12" t="inlineStr">
        <is>
          <t>网络与信息安全</t>
        </is>
      </c>
      <c r="E155" s="8" t="inlineStr">
        <is>
          <t>无专属条款</t>
        </is>
      </c>
      <c r="F155" s="8" t="inlineStr">
        <is>
          <t>无</t>
        </is>
      </c>
      <c r="G155" s="10" t="inlineStr">
        <is>
          <t>不限</t>
        </is>
      </c>
      <c r="H155" s="10" t="inlineStr">
        <is>
          <t>无审稿义务</t>
        </is>
      </c>
      <c r="I155" s="8" t="inlineStr">
        <is>
          <t>无</t>
        </is>
      </c>
      <c r="J155" s="8" t="inlineStr">
        <is>
          <t>不强制</t>
        </is>
      </c>
      <c r="K155" s="10" t="inlineStr">
        <is>
          <t>EasyChair 账号，无额外门槛</t>
        </is>
      </c>
      <c r="L155" s="10" t="inlineStr">
        <is>
          <t>无</t>
        </is>
      </c>
      <c r="M155" s="10" t="inlineStr">
        <is>
          <t>未提及</t>
        </is>
      </c>
      <c r="N155" s="10" t="inlineStr">
        <is>
          <t>https://acisp.org/cfp.html</t>
        </is>
      </c>
      <c r="O155" s="8" t="inlineStr">
        <is>
          <t>高</t>
        </is>
      </c>
      <c r="P155" s="10" t="inlineStr">
        <is>
          <t>两轮投稿；设 SoK 通道；无学生条款</t>
        </is>
      </c>
    </row>
    <row r="156" ht="30" customHeight="1">
      <c r="A156" s="8" t="n">
        <v>155</v>
      </c>
      <c r="B156" s="9" t="inlineStr">
        <is>
          <t>ACNS</t>
        </is>
      </c>
      <c r="C156" s="8" t="inlineStr">
        <is>
          <t>C</t>
        </is>
      </c>
      <c r="D156" s="12" t="inlineStr">
        <is>
          <t>网络与信息安全</t>
        </is>
      </c>
      <c r="E156" s="8" t="inlineStr">
        <is>
          <t>有专属条款</t>
        </is>
      </c>
      <c r="F156" s="8" t="inlineStr">
        <is>
          <t>有硬性要求</t>
        </is>
      </c>
      <c r="G156" s="10" t="inlineStr">
        <is>
          <t>不限</t>
        </is>
      </c>
      <c r="H156" s="10" t="inlineStr">
        <is>
          <t>无审稿义务</t>
        </is>
      </c>
      <c r="I156" s="8" t="inlineStr">
        <is>
          <t>无</t>
        </is>
      </c>
      <c r="J156" s="8" t="inlineStr">
        <is>
          <t>不强制</t>
        </is>
      </c>
      <c r="K156" s="10" t="inlineStr">
        <is>
          <t>HotCRP 账号，无额外门槛</t>
        </is>
      </c>
      <c r="L156" s="10" t="inlineStr">
        <is>
          <t>最佳学生论文奖（Springer 1500 EUR）</t>
        </is>
      </c>
      <c r="M156" s="10" t="inlineStr">
        <is>
          <t>无学生费率，录用须全价注册</t>
        </is>
      </c>
      <c r="N156" s="10" t="inlineStr">
        <is>
          <t>https://acns2027.isg.rhul.ac.uk/calls/papers</t>
        </is>
      </c>
      <c r="O156" s="8" t="inlineStr">
        <is>
          <t>高</t>
        </is>
      </c>
      <c r="P156" s="10" t="inlineStr">
        <is>
          <t>须有全职学生作者并到会方可评学生奖</t>
        </is>
      </c>
    </row>
    <row r="157" ht="30" customHeight="1">
      <c r="A157" s="8" t="n">
        <v>156</v>
      </c>
      <c r="B157" s="9" t="inlineStr">
        <is>
          <t>AsiaCCS</t>
        </is>
      </c>
      <c r="C157" s="8" t="inlineStr">
        <is>
          <t>C</t>
        </is>
      </c>
      <c r="D157" s="12" t="inlineStr">
        <is>
          <t>网络与信息安全</t>
        </is>
      </c>
      <c r="E157" s="8" t="inlineStr">
        <is>
          <t>有专属条款</t>
        </is>
      </c>
      <c r="F157" s="8" t="inlineStr">
        <is>
          <t>有硬性要求</t>
        </is>
      </c>
      <c r="G157" s="10" t="inlineStr">
        <is>
          <t>不限</t>
        </is>
      </c>
      <c r="H157" s="10" t="inlineStr">
        <is>
          <t>无审稿义务</t>
        </is>
      </c>
      <c r="I157" s="8" t="inlineStr">
        <is>
          <t>无</t>
        </is>
      </c>
      <c r="J157" s="8" t="inlineStr">
        <is>
          <t>不强制</t>
        </is>
      </c>
      <c r="K157" s="10" t="inlineStr">
        <is>
          <t>所有作者须投稿前提供 ORCID</t>
        </is>
      </c>
      <c r="L157" s="10" t="inlineStr">
        <is>
          <t>无</t>
        </is>
      </c>
      <c r="M157" s="10" t="inlineStr">
        <is>
          <t>ACM Open APC 补贴 500/750 美元</t>
        </is>
      </c>
      <c r="N157" s="10" t="inlineStr">
        <is>
          <t>https://asiaccs2027.cityu.edu.mo/call-for-papers/index.html</t>
        </is>
      </c>
      <c r="O157" s="8" t="inlineStr">
        <is>
          <t>高</t>
        </is>
      </c>
      <c r="P157" s="10" t="inlineStr">
        <is>
          <t>Track Chair 投本 track 限 2 篇</t>
        </is>
      </c>
    </row>
    <row r="158" ht="30" customHeight="1">
      <c r="A158" s="8" t="n">
        <v>157</v>
      </c>
      <c r="B158" s="9" t="inlineStr">
        <is>
          <t>BlockSys</t>
        </is>
      </c>
      <c r="C158" s="8" t="inlineStr">
        <is>
          <t>C</t>
        </is>
      </c>
      <c r="D158" s="12" t="inlineStr">
        <is>
          <t>网络与信息安全</t>
        </is>
      </c>
      <c r="E158" s="8" t="inlineStr">
        <is>
          <t>有专属条款</t>
        </is>
      </c>
      <c r="F158" s="8" t="inlineStr">
        <is>
          <t>有硬性要求</t>
        </is>
      </c>
      <c r="G158" s="10" t="inlineStr">
        <is>
          <t>不限</t>
        </is>
      </c>
      <c r="H158" s="10" t="inlineStr">
        <is>
          <t>无审稿义务</t>
        </is>
      </c>
      <c r="I158" s="8" t="inlineStr">
        <is>
          <t>无</t>
        </is>
      </c>
      <c r="J158" s="8" t="inlineStr">
        <is>
          <t>不强制</t>
        </is>
      </c>
      <c r="K158" s="10" t="inlineStr">
        <is>
          <t>EasyChair 账号，无额外门槛</t>
        </is>
      </c>
      <c r="L158" s="10" t="inlineStr">
        <is>
          <t>最佳学生论文奖</t>
        </is>
      </c>
      <c r="M158" s="10" t="inlineStr">
        <is>
          <t>未提及</t>
        </is>
      </c>
      <c r="N158" s="10" t="inlineStr">
        <is>
          <t>https://blocksys.info/2027/call-for-papers/</t>
        </is>
      </c>
      <c r="O158" s="8" t="inlineStr">
        <is>
          <t>高</t>
        </is>
      </c>
      <c r="P158" s="10" t="inlineStr">
        <is>
          <t>另设 Best Paper、Best Contributions</t>
        </is>
      </c>
    </row>
    <row r="159" ht="30" customHeight="1">
      <c r="A159" s="8" t="n">
        <v>158</v>
      </c>
      <c r="B159" s="9" t="inlineStr">
        <is>
          <t>CODASPY</t>
        </is>
      </c>
      <c r="C159" s="8" t="inlineStr">
        <is>
          <t>C</t>
        </is>
      </c>
      <c r="D159" s="12" t="inlineStr">
        <is>
          <t>网络与信息安全</t>
        </is>
      </c>
      <c r="E159" s="8" t="inlineStr">
        <is>
          <t>有专属条款</t>
        </is>
      </c>
      <c r="F159" s="8" t="inlineStr">
        <is>
          <t>只有利好通道</t>
        </is>
      </c>
      <c r="G159" s="10" t="inlineStr">
        <is>
          <t>不限</t>
        </is>
      </c>
      <c r="H159" s="10" t="inlineStr">
        <is>
          <t>无审稿义务</t>
        </is>
      </c>
      <c r="I159" s="8" t="inlineStr">
        <is>
          <t>无</t>
        </is>
      </c>
      <c r="J159" s="8" t="inlineStr">
        <is>
          <t>不强制</t>
        </is>
      </c>
      <c r="K159" s="10" t="inlineStr">
        <is>
          <t>须注册 ORCID（ACM 出版流程）</t>
        </is>
      </c>
      <c r="L159" s="10" t="inlineStr">
        <is>
          <t>无</t>
        </is>
      </c>
      <c r="M159" s="10" t="inlineStr">
        <is>
          <t>ACM Open APC 补贴 500/750 美元</t>
        </is>
      </c>
      <c r="N159" s="10" t="inlineStr">
        <is>
          <t>https://www.codaspy.org/2027/cfp.html</t>
        </is>
      </c>
      <c r="O159" s="8" t="inlineStr">
        <is>
          <t>中</t>
        </is>
      </c>
      <c r="P159" s="10" t="inlineStr">
        <is>
          <t>ORCID 为 ACM 通用要求，非新人专属</t>
        </is>
      </c>
    </row>
    <row r="160" ht="30" customHeight="1">
      <c r="A160" s="8" t="n">
        <v>159</v>
      </c>
      <c r="B160" s="9" t="inlineStr">
        <is>
          <t>CT-RSA</t>
        </is>
      </c>
      <c r="C160" s="8" t="inlineStr">
        <is>
          <t>C</t>
        </is>
      </c>
      <c r="D160" s="12" t="inlineStr">
        <is>
          <t>网络与信息安全</t>
        </is>
      </c>
      <c r="E160" s="8" t="inlineStr">
        <is>
          <t>无专属条款</t>
        </is>
      </c>
      <c r="F160" s="8" t="inlineStr">
        <is>
          <t>无</t>
        </is>
      </c>
      <c r="G160" s="10" t="inlineStr">
        <is>
          <t>不限</t>
        </is>
      </c>
      <c r="H160" s="10" t="inlineStr">
        <is>
          <t>无审稿义务</t>
        </is>
      </c>
      <c r="I160" s="8" t="inlineStr">
        <is>
          <t>无</t>
        </is>
      </c>
      <c r="J160" s="8" t="inlineStr">
        <is>
          <t>不强制</t>
        </is>
      </c>
      <c r="K160" s="10" t="inlineStr">
        <is>
          <t>无门槛</t>
        </is>
      </c>
      <c r="L160" s="10" t="inlineStr">
        <is>
          <t>无</t>
        </is>
      </c>
      <c r="M160" s="10" t="inlineStr">
        <is>
          <t>未提及</t>
        </is>
      </c>
      <c r="N160" s="10" t="inlineStr">
        <is>
          <t>https://www.esat.kuleuven.be/cosic/events/ct-rsa-2027/</t>
        </is>
      </c>
      <c r="O160" s="8" t="inlineStr">
        <is>
          <t>中</t>
        </is>
      </c>
      <c r="P160" s="10" t="inlineStr">
        <is>
          <t>录用报告者获免费 RSAC Premium Pass</t>
        </is>
      </c>
    </row>
    <row r="161" ht="30" customHeight="1">
      <c r="A161" s="8" t="n">
        <v>160</v>
      </c>
      <c r="B161" s="9" t="inlineStr">
        <is>
          <t>DFRWS</t>
        </is>
      </c>
      <c r="C161" s="8" t="inlineStr">
        <is>
          <t>C</t>
        </is>
      </c>
      <c r="D161" s="12" t="inlineStr">
        <is>
          <t>网络与信息安全</t>
        </is>
      </c>
      <c r="E161" s="8" t="inlineStr">
        <is>
          <t>有专属条款</t>
        </is>
      </c>
      <c r="F161" s="8" t="inlineStr">
        <is>
          <t>有硬性要求</t>
        </is>
      </c>
      <c r="G161" s="10" t="inlineStr">
        <is>
          <t>不限</t>
        </is>
      </c>
      <c r="H161" s="10" t="inlineStr">
        <is>
          <t>无审稿义务</t>
        </is>
      </c>
      <c r="I161" s="8" t="inlineStr">
        <is>
          <t>无</t>
        </is>
      </c>
      <c r="J161" s="8" t="inlineStr">
        <is>
          <t>不强制</t>
        </is>
      </c>
      <c r="K161" s="10" t="inlineStr">
        <is>
          <t>EasyChair 账号，无额外门槛</t>
        </is>
      </c>
      <c r="L161" s="10" t="inlineStr">
        <is>
          <t>DFDS 数字取证博士生论坛</t>
        </is>
      </c>
      <c r="M161" s="10" t="inlineStr">
        <is>
          <t>学生 Community Rate 注册优惠</t>
        </is>
      </c>
      <c r="N161" s="10" t="inlineStr">
        <is>
          <t>https://dfrws.org/conferences/dfceurope2027/</t>
        </is>
      </c>
      <c r="O161" s="8" t="inlineStr">
        <is>
          <t>高</t>
        </is>
      </c>
      <c r="P161" s="10" t="inlineStr">
        <is>
          <t>另设 WinFC 女性论坛与学生奖学金</t>
        </is>
      </c>
    </row>
    <row r="162" ht="30" customHeight="1">
      <c r="A162" s="8" t="n">
        <v>161</v>
      </c>
      <c r="B162" s="9" t="inlineStr">
        <is>
          <t>EuroS&amp;P</t>
        </is>
      </c>
      <c r="C162" s="8" t="inlineStr">
        <is>
          <t>C</t>
        </is>
      </c>
      <c r="D162" s="12" t="inlineStr">
        <is>
          <t>网络与信息安全</t>
        </is>
      </c>
      <c r="E162" s="8" t="inlineStr">
        <is>
          <t>无专属条款</t>
        </is>
      </c>
      <c r="F162" s="8" t="inlineStr">
        <is>
          <t>无</t>
        </is>
      </c>
      <c r="G162" s="10" t="inlineStr">
        <is>
          <t>7 篇/届</t>
        </is>
      </c>
      <c r="H162" s="10" t="inlineStr">
        <is>
          <t>无审稿义务</t>
        </is>
      </c>
      <c r="I162" s="8" t="inlineStr">
        <is>
          <t>无</t>
        </is>
      </c>
      <c r="J162" s="8" t="inlineStr">
        <is>
          <t>不强制</t>
        </is>
      </c>
      <c r="K162" s="10" t="inlineStr">
        <is>
          <t>HotCRP 账号，无额外门槛</t>
        </is>
      </c>
      <c r="L162" s="10" t="inlineStr">
        <is>
          <t>无</t>
        </is>
      </c>
      <c r="M162" s="10" t="inlineStr">
        <is>
          <t>未提及</t>
        </is>
      </c>
      <c r="N162" s="10" t="inlineStr">
        <is>
          <t>https://www.ieee-security.org/TC/EuroSP2027/cfp.html</t>
        </is>
      </c>
      <c r="O162" s="8" t="inlineStr">
        <is>
          <t>高</t>
        </is>
      </c>
      <c r="P162" s="10" t="inlineStr">
        <is>
          <t>全体作者限投 7 篇；须提前摘要注册</t>
        </is>
      </c>
    </row>
    <row r="163" ht="30" customHeight="1">
      <c r="A163" s="8" t="n">
        <v>162</v>
      </c>
      <c r="B163" s="9" t="inlineStr">
        <is>
          <t>FC</t>
        </is>
      </c>
      <c r="C163" s="8" t="inlineStr">
        <is>
          <t>C</t>
        </is>
      </c>
      <c r="D163" s="12" t="inlineStr">
        <is>
          <t>网络与信息安全</t>
        </is>
      </c>
      <c r="E163" s="8" t="inlineStr">
        <is>
          <t>无专属条款</t>
        </is>
      </c>
      <c r="F163" s="8" t="inlineStr">
        <is>
          <t>无</t>
        </is>
      </c>
      <c r="G163" s="10" t="inlineStr">
        <is>
          <t>不限</t>
        </is>
      </c>
      <c r="H163" s="10" t="inlineStr">
        <is>
          <t>无审稿义务</t>
        </is>
      </c>
      <c r="I163" s="8" t="inlineStr">
        <is>
          <t>无</t>
        </is>
      </c>
      <c r="J163" s="8" t="inlineStr">
        <is>
          <t>不强制</t>
        </is>
      </c>
      <c r="K163" s="10" t="inlineStr">
        <is>
          <t>无门槛</t>
        </is>
      </c>
      <c r="L163" s="10" t="inlineStr">
        <is>
          <t>无</t>
        </is>
      </c>
      <c r="M163" s="10" t="inlineStr">
        <is>
          <t>未提及</t>
        </is>
      </c>
      <c r="N163" s="10" t="inlineStr">
        <is>
          <t>https://fc27.ifca.ai/cfp.html</t>
        </is>
      </c>
      <c r="O163" s="8" t="inlineStr">
        <is>
          <t>中</t>
        </is>
      </c>
      <c r="P163" s="10" t="inlineStr">
        <is>
          <t>仅要求每篇录用论文至少 1 人注册</t>
        </is>
      </c>
    </row>
    <row r="164" ht="30" customHeight="1">
      <c r="A164" s="8" t="n">
        <v>163</v>
      </c>
      <c r="B164" s="9" t="inlineStr">
        <is>
          <t>ICDF2C</t>
        </is>
      </c>
      <c r="C164" s="8" t="inlineStr">
        <is>
          <t>C</t>
        </is>
      </c>
      <c r="D164" s="12" t="inlineStr">
        <is>
          <t>网络与信息安全</t>
        </is>
      </c>
      <c r="E164" s="8" t="inlineStr">
        <is>
          <t>无专属条款</t>
        </is>
      </c>
      <c r="F164" s="8" t="inlineStr">
        <is>
          <t>无</t>
        </is>
      </c>
      <c r="G164" s="10" t="inlineStr">
        <is>
          <t>不限</t>
        </is>
      </c>
      <c r="H164" s="10" t="inlineStr">
        <is>
          <t>无审稿义务</t>
        </is>
      </c>
      <c r="I164" s="8" t="inlineStr">
        <is>
          <t>无</t>
        </is>
      </c>
      <c r="J164" s="8" t="inlineStr">
        <is>
          <t>不强制</t>
        </is>
      </c>
      <c r="K164" s="10" t="inlineStr">
        <is>
          <t>Confy+ 自助注册，无额外门槛</t>
        </is>
      </c>
      <c r="L164" s="10" t="inlineStr">
        <is>
          <t>无</t>
        </is>
      </c>
      <c r="M164" s="10" t="inlineStr">
        <is>
          <t>未提及</t>
        </is>
      </c>
      <c r="N164" s="10" t="inlineStr">
        <is>
          <t>https://icdf2c.eai-conferences.org/2027/call-for-paper/</t>
        </is>
      </c>
      <c r="O164" s="8" t="inlineStr">
        <is>
          <t>中</t>
        </is>
      </c>
      <c r="P164" s="10" t="inlineStr">
        <is>
          <t>EAI 模板页，未见学生通道</t>
        </is>
      </c>
    </row>
    <row r="165" ht="30" customHeight="1">
      <c r="A165" s="8" t="n">
        <v>164</v>
      </c>
      <c r="B165" s="9" t="inlineStr">
        <is>
          <t>IFIP WG 11.9</t>
        </is>
      </c>
      <c r="C165" s="8" t="inlineStr">
        <is>
          <t>C</t>
        </is>
      </c>
      <c r="D165" s="12" t="inlineStr">
        <is>
          <t>网络与信息安全</t>
        </is>
      </c>
      <c r="E165" s="8" t="inlineStr">
        <is>
          <t>有专属条款</t>
        </is>
      </c>
      <c r="F165" s="8" t="inlineStr">
        <is>
          <t>只有利好通道</t>
        </is>
      </c>
      <c r="G165" s="10" t="inlineStr">
        <is>
          <t>不限</t>
        </is>
      </c>
      <c r="H165" s="10" t="inlineStr">
        <is>
          <t>无审稿义务</t>
        </is>
      </c>
      <c r="I165" s="8" t="inlineStr">
        <is>
          <t>无</t>
        </is>
      </c>
      <c r="J165" s="8" t="inlineStr">
        <is>
          <t>不强制</t>
        </is>
      </c>
      <c r="K165" s="10" t="inlineStr">
        <is>
          <t>无门槛</t>
        </is>
      </c>
      <c r="L165" s="10" t="inlineStr">
        <is>
          <t>最佳学生论文奖</t>
        </is>
      </c>
      <c r="M165" s="10" t="inlineStr">
        <is>
          <t>未提及</t>
        </is>
      </c>
      <c r="N165" s="10" t="inlineStr">
        <is>
          <t>https://www.ifip119.org/Conferences/WG11-9-CFP-2027.pdf</t>
        </is>
      </c>
      <c r="O165" s="8" t="inlineStr">
        <is>
          <t>高</t>
        </is>
      </c>
      <c r="P165" s="10" t="inlineStr">
        <is>
          <t>仅设学生论文奖，无专属投稿通道</t>
        </is>
      </c>
    </row>
    <row r="166" ht="30" customHeight="1">
      <c r="A166" s="8" t="n">
        <v>165</v>
      </c>
      <c r="B166" s="9" t="inlineStr">
        <is>
          <t>PETS</t>
        </is>
      </c>
      <c r="C166" s="8" t="inlineStr">
        <is>
          <t>C</t>
        </is>
      </c>
      <c r="D166" s="12" t="inlineStr">
        <is>
          <t>网络与信息安全</t>
        </is>
      </c>
      <c r="E166" s="8" t="inlineStr">
        <is>
          <t>有专属条款</t>
        </is>
      </c>
      <c r="F166" s="8" t="inlineStr">
        <is>
          <t>有硬性要求</t>
        </is>
      </c>
      <c r="G166" s="10" t="inlineStr">
        <is>
          <t>4 篇/期（2027 第 3 期起，超限全部拒）</t>
        </is>
      </c>
      <c r="H166" s="10" t="inlineStr">
        <is>
          <t>无审稿义务</t>
        </is>
      </c>
      <c r="I166" s="8" t="inlineStr">
        <is>
          <t>4 篇/期（2027 第 3 期起，超限全部拒）</t>
        </is>
      </c>
      <c r="J166" s="8" t="inlineStr">
        <is>
          <t>不强制</t>
        </is>
      </c>
      <c r="K166" s="10" t="inlineStr">
        <is>
          <t>无门槛（PETS 自有投稿系统）</t>
        </is>
      </c>
      <c r="L166" s="10" t="inlineStr">
        <is>
          <t>Tadpole Reviewers, 最佳学生论文奖</t>
        </is>
      </c>
      <c r="M166" s="10" t="inlineStr">
        <is>
          <t>设 stipend 资助（细则未公布）</t>
        </is>
      </c>
      <c r="N166" s="10" t="inlineStr">
        <is>
          <t>https://petsymposium.org/authors-2027.php</t>
        </is>
      </c>
      <c r="O166" s="8" t="inlineStr">
        <is>
          <t>高</t>
        </is>
      </c>
      <c r="P166" s="10" t="inlineStr">
        <is>
          <t>被拒须跳一期方可重投</t>
        </is>
      </c>
    </row>
    <row r="167" ht="30" customHeight="1">
      <c r="A167" s="8" t="n">
        <v>166</v>
      </c>
      <c r="B167" s="9" t="inlineStr">
        <is>
          <t>SACMAT</t>
        </is>
      </c>
      <c r="C167" s="8" t="inlineStr">
        <is>
          <t>C</t>
        </is>
      </c>
      <c r="D167" s="12" t="inlineStr">
        <is>
          <t>网络与信息安全</t>
        </is>
      </c>
      <c r="E167" s="8" t="inlineStr">
        <is>
          <t>CFP未发布</t>
        </is>
      </c>
      <c r="F167" s="8" t="inlineStr">
        <is>
          <t>CFP未发布</t>
        </is>
      </c>
      <c r="G167" s="10" t="inlineStr">
        <is>
          <t>不限</t>
        </is>
      </c>
      <c r="H167" s="10" t="inlineStr">
        <is>
          <t>—</t>
        </is>
      </c>
      <c r="I167" s="8" t="inlineStr">
        <is>
          <t>—</t>
        </is>
      </c>
      <c r="J167" s="8" t="inlineStr">
        <is>
          <t>—</t>
        </is>
      </c>
      <c r="K167" s="10" t="inlineStr">
        <is>
          <t>—</t>
        </is>
      </c>
      <c r="L167" s="10" t="inlineStr">
        <is>
          <t>—</t>
        </is>
      </c>
      <c r="M167" s="10" t="inlineStr">
        <is>
          <t>—</t>
        </is>
      </c>
      <c r="N167" s="10" t="inlineStr">
        <is>
          <t>—</t>
        </is>
      </c>
      <c r="O167" s="8" t="inlineStr">
        <is>
          <t>高</t>
        </is>
      </c>
      <c r="P167" s="10" t="inlineStr">
        <is>
          <t>2027 CFP 未发布，无 Authors/Submission 页可查</t>
        </is>
      </c>
    </row>
    <row r="168" ht="30" customHeight="1">
      <c r="A168" s="8" t="n">
        <v>167</v>
      </c>
      <c r="B168" s="9" t="inlineStr">
        <is>
          <t>SEC</t>
        </is>
      </c>
      <c r="C168" s="8" t="inlineStr">
        <is>
          <t>C</t>
        </is>
      </c>
      <c r="D168" s="12" t="inlineStr">
        <is>
          <t>网络与信息安全</t>
        </is>
      </c>
      <c r="E168" s="8" t="inlineStr">
        <is>
          <t>CFP未发布</t>
        </is>
      </c>
      <c r="F168" s="8" t="inlineStr">
        <is>
          <t>CFP未发布</t>
        </is>
      </c>
      <c r="G168" s="10" t="inlineStr">
        <is>
          <t>不限</t>
        </is>
      </c>
      <c r="H168" s="10" t="inlineStr">
        <is>
          <t>未找到</t>
        </is>
      </c>
      <c r="I168" s="8" t="inlineStr">
        <is>
          <t>未找到</t>
        </is>
      </c>
      <c r="J168" s="8" t="inlineStr">
        <is>
          <t>待确认</t>
        </is>
      </c>
      <c r="K168" s="10" t="inlineStr">
        <is>
          <t>未找到</t>
        </is>
      </c>
      <c r="L168" s="10" t="inlineStr">
        <is>
          <t>未找到</t>
        </is>
      </c>
      <c r="M168" s="10" t="inlineStr">
        <is>
          <t>未找到</t>
        </is>
      </c>
      <c r="N168" s="10" t="inlineStr">
        <is>
          <t>—</t>
        </is>
      </c>
      <c r="O168" s="8" t="inlineStr">
        <is>
          <t>低</t>
        </is>
      </c>
      <c r="P168" s="10" t="inlineStr">
        <is>
          <t>2027 CFP 未发布，无法核查新人条款</t>
        </is>
      </c>
    </row>
    <row r="169" ht="30" customHeight="1">
      <c r="A169" s="8" t="n">
        <v>168</v>
      </c>
      <c r="B169" s="9" t="inlineStr">
        <is>
          <t>SOUPS</t>
        </is>
      </c>
      <c r="C169" s="8" t="inlineStr">
        <is>
          <t>C</t>
        </is>
      </c>
      <c r="D169" s="12" t="inlineStr">
        <is>
          <t>网络与信息安全</t>
        </is>
      </c>
      <c r="E169" s="8" t="inlineStr">
        <is>
          <t>CFP未发布</t>
        </is>
      </c>
      <c r="F169" s="8" t="inlineStr">
        <is>
          <t>CFP未发布</t>
        </is>
      </c>
      <c r="G169" s="10" t="inlineStr">
        <is>
          <t>不限</t>
        </is>
      </c>
      <c r="H169" s="10" t="inlineStr">
        <is>
          <t>未找到</t>
        </is>
      </c>
      <c r="I169" s="8" t="inlineStr">
        <is>
          <t>未找到</t>
        </is>
      </c>
      <c r="J169" s="8" t="inlineStr">
        <is>
          <t>待确认</t>
        </is>
      </c>
      <c r="K169" s="10" t="inlineStr">
        <is>
          <t>未找到</t>
        </is>
      </c>
      <c r="L169" s="10" t="inlineStr">
        <is>
          <t>未找到</t>
        </is>
      </c>
      <c r="M169" s="10" t="inlineStr">
        <is>
          <t>未找到</t>
        </is>
      </c>
      <c r="N169" s="10" t="inlineStr">
        <is>
          <t>—</t>
        </is>
      </c>
      <c r="O169" s="8" t="inlineStr">
        <is>
          <t>低</t>
        </is>
      </c>
      <c r="P169" s="10" t="inlineStr">
        <is>
          <t>2027 CFP 未发布，无法核查新人条款</t>
        </is>
      </c>
    </row>
    <row r="170" ht="30" customHeight="1">
      <c r="A170" s="8" t="n">
        <v>169</v>
      </c>
      <c r="B170" s="9" t="inlineStr">
        <is>
          <t>SecureComm</t>
        </is>
      </c>
      <c r="C170" s="8" t="inlineStr">
        <is>
          <t>C</t>
        </is>
      </c>
      <c r="D170" s="12" t="inlineStr">
        <is>
          <t>网络与信息安全</t>
        </is>
      </c>
      <c r="E170" s="8" t="inlineStr">
        <is>
          <t>无专属条款</t>
        </is>
      </c>
      <c r="F170" s="8" t="inlineStr">
        <is>
          <t>无</t>
        </is>
      </c>
      <c r="G170" s="10" t="inlineStr">
        <is>
          <t>不限</t>
        </is>
      </c>
      <c r="H170" s="10" t="inlineStr">
        <is>
          <t>无审稿义务</t>
        </is>
      </c>
      <c r="I170" s="8" t="inlineStr">
        <is>
          <t>无</t>
        </is>
      </c>
      <c r="J170" s="8" t="inlineStr">
        <is>
          <t>不强制</t>
        </is>
      </c>
      <c r="K170" s="10" t="inlineStr">
        <is>
          <t>EasyChair 自助注册，无门槛</t>
        </is>
      </c>
      <c r="L170" s="10" t="inlineStr">
        <is>
          <t>无</t>
        </is>
      </c>
      <c r="M170" s="10" t="inlineStr">
        <is>
          <t>未提及</t>
        </is>
      </c>
      <c r="N170" s="10" t="inlineStr">
        <is>
          <t>https://securecomm.eai-conferences.org/2027/call-for-paper/</t>
        </is>
      </c>
      <c r="O170" s="8" t="inlineStr">
        <is>
          <t>中</t>
        </is>
      </c>
      <c r="P170" s="10" t="inlineStr"/>
    </row>
    <row r="171" ht="30" customHeight="1">
      <c r="A171" s="8" t="n">
        <v>170</v>
      </c>
      <c r="B171" s="9" t="inlineStr">
        <is>
          <t>COMPSAC</t>
        </is>
      </c>
      <c r="C171" s="8" t="inlineStr">
        <is>
          <t>C</t>
        </is>
      </c>
      <c r="D171" s="12" t="inlineStr">
        <is>
          <t>软件工程/系统软件</t>
        </is>
      </c>
      <c r="E171" s="8" t="inlineStr">
        <is>
          <t>有专属条款</t>
        </is>
      </c>
      <c r="F171" s="8" t="inlineStr">
        <is>
          <t>只有利好通道</t>
        </is>
      </c>
      <c r="G171" s="10" t="inlineStr">
        <is>
          <t>不限</t>
        </is>
      </c>
      <c r="H171" s="10" t="inlineStr">
        <is>
          <t>无审稿义务</t>
        </is>
      </c>
      <c r="I171" s="8" t="inlineStr">
        <is>
          <t>无</t>
        </is>
      </c>
      <c r="J171" s="8" t="inlineStr">
        <is>
          <t>待确认</t>
        </is>
      </c>
      <c r="K171" s="10" t="inlineStr">
        <is>
          <t>无门槛</t>
        </is>
      </c>
      <c r="L171" s="10" t="inlineStr">
        <is>
          <t>学生论文竞赛 STC, 学生研究论坛 SRS, 早期职业 Mentorium 工作坊</t>
        </is>
      </c>
      <c r="M171" s="10" t="inlineStr">
        <is>
          <t>未提及</t>
        </is>
      </c>
      <c r="N171" s="10" t="inlineStr">
        <is>
          <t>https://ieeecompsac.computer.org/2027/</t>
        </is>
      </c>
      <c r="O171" s="8" t="inlineStr">
        <is>
          <t>中</t>
        </is>
      </c>
      <c r="P171" s="10" t="inlineStr">
        <is>
          <t>SRS 录用论文进主会论文集</t>
        </is>
      </c>
    </row>
    <row r="172" ht="30" customHeight="1">
      <c r="A172" s="8" t="n">
        <v>171</v>
      </c>
      <c r="B172" s="9" t="inlineStr">
        <is>
          <t>EASE</t>
        </is>
      </c>
      <c r="C172" s="8" t="inlineStr">
        <is>
          <t>C</t>
        </is>
      </c>
      <c r="D172" s="12" t="inlineStr">
        <is>
          <t>软件工程/系统软件</t>
        </is>
      </c>
      <c r="E172" s="8" t="inlineStr">
        <is>
          <t>有专属条款</t>
        </is>
      </c>
      <c r="F172" s="8" t="inlineStr">
        <is>
          <t>只有利好通道</t>
        </is>
      </c>
      <c r="G172" s="10" t="inlineStr">
        <is>
          <t>不限</t>
        </is>
      </c>
      <c r="H172" s="10" t="inlineStr">
        <is>
          <t>无审稿义务</t>
        </is>
      </c>
      <c r="I172" s="8" t="inlineStr">
        <is>
          <t>无</t>
        </is>
      </c>
      <c r="J172" s="8" t="inlineStr">
        <is>
          <t>不强制</t>
        </is>
      </c>
      <c r="K172" s="10" t="inlineStr">
        <is>
          <t>无门槛</t>
        </is>
      </c>
      <c r="L172" s="10" t="inlineStr">
        <is>
          <t>Doctoral Symposium</t>
        </is>
      </c>
      <c r="M172" s="10" t="inlineStr">
        <is>
          <t>未提及</t>
        </is>
      </c>
      <c r="N172" s="10" t="inlineStr">
        <is>
          <t>https://conf.researchr.org/home/ease-2027</t>
        </is>
      </c>
      <c r="O172" s="8" t="inlineStr">
        <is>
          <t>高</t>
        </is>
      </c>
      <c r="P172" s="10" t="inlineStr">
        <is>
          <t>DS 投稿 2027-02-04 截稿</t>
        </is>
      </c>
    </row>
    <row r="173" ht="30" customHeight="1">
      <c r="A173" s="8" t="n">
        <v>172</v>
      </c>
      <c r="B173" s="9" t="inlineStr">
        <is>
          <t>ICST</t>
        </is>
      </c>
      <c r="C173" s="8" t="inlineStr">
        <is>
          <t>C</t>
        </is>
      </c>
      <c r="D173" s="12" t="inlineStr">
        <is>
          <t>软件工程/系统软件</t>
        </is>
      </c>
      <c r="E173" s="8" t="inlineStr">
        <is>
          <t>有专属条款</t>
        </is>
      </c>
      <c r="F173" s="8" t="inlineStr">
        <is>
          <t>有硬性要求</t>
        </is>
      </c>
      <c r="G173" s="10" t="inlineStr">
        <is>
          <t>不限</t>
        </is>
      </c>
      <c r="H173" s="10" t="inlineStr">
        <is>
          <t>无审稿义务</t>
        </is>
      </c>
      <c r="I173" s="8" t="inlineStr">
        <is>
          <t>无</t>
        </is>
      </c>
      <c r="J173" s="8" t="inlineStr">
        <is>
          <t>不强制</t>
        </is>
      </c>
      <c r="K173" s="10" t="inlineStr">
        <is>
          <t>HotCRP 投稿，无额外门槛</t>
        </is>
      </c>
      <c r="L173" s="10" t="inlineStr">
        <is>
          <t>Doctoral Symposium</t>
        </is>
      </c>
      <c r="M173" s="10" t="inlineStr">
        <is>
          <t>未提及</t>
        </is>
      </c>
      <c r="N173" s="10" t="inlineStr">
        <is>
          <t>https://conf.researchr.org/home/icst-2027</t>
        </is>
      </c>
      <c r="O173" s="8" t="inlineStr">
        <is>
          <t>高</t>
        </is>
      </c>
      <c r="P173" s="10" t="inlineStr">
        <is>
          <t>研究论文轨不接受短文</t>
        </is>
      </c>
    </row>
    <row r="174" ht="30" customHeight="1">
      <c r="A174" s="8" t="n">
        <v>173</v>
      </c>
      <c r="B174" s="9" t="inlineStr">
        <is>
          <t>MSR</t>
        </is>
      </c>
      <c r="C174" s="8" t="inlineStr">
        <is>
          <t>C</t>
        </is>
      </c>
      <c r="D174" s="12" t="inlineStr">
        <is>
          <t>软件工程/系统软件</t>
        </is>
      </c>
      <c r="E174" s="8" t="inlineStr">
        <is>
          <t>有专属条款</t>
        </is>
      </c>
      <c r="F174" s="8" t="inlineStr">
        <is>
          <t>只有利好通道</t>
        </is>
      </c>
      <c r="G174" s="10" t="inlineStr">
        <is>
          <t>不限</t>
        </is>
      </c>
      <c r="H174" s="10" t="inlineStr">
        <is>
          <t>无审稿义务</t>
        </is>
      </c>
      <c r="I174" s="8" t="inlineStr">
        <is>
          <t>无</t>
        </is>
      </c>
      <c r="J174" s="8" t="inlineStr">
        <is>
          <t>不强制</t>
        </is>
      </c>
      <c r="K174" s="10" t="inlineStr">
        <is>
          <t>HotCRP 投稿；录用须 ORCID</t>
        </is>
      </c>
      <c r="L174" s="10" t="inlineStr">
        <is>
          <t>Junior PC（初级审稿人导师制）</t>
        </is>
      </c>
      <c r="M174" s="10" t="inlineStr">
        <is>
          <t>未提及</t>
        </is>
      </c>
      <c r="N174" s="10" t="inlineStr">
        <is>
          <t>https://2027.msrconf.org/track/msr-2027-technical-papers</t>
        </is>
      </c>
      <c r="O174" s="8" t="inlineStr">
        <is>
          <t>高</t>
        </is>
      </c>
      <c r="P174" s="10" t="inlineStr">
        <is>
          <t>Junior PC 面向博士生/博后/新教师</t>
        </is>
      </c>
    </row>
    <row r="175" ht="30" customHeight="1">
      <c r="A175" s="8" t="n">
        <v>174</v>
      </c>
      <c r="B175" s="9" t="inlineStr">
        <is>
          <t>PEPM</t>
        </is>
      </c>
      <c r="C175" s="8" t="inlineStr">
        <is>
          <t>C</t>
        </is>
      </c>
      <c r="D175" s="12" t="inlineStr">
        <is>
          <t>软件工程/系统软件</t>
        </is>
      </c>
      <c r="E175" s="8" t="inlineStr">
        <is>
          <t>无专属条款</t>
        </is>
      </c>
      <c r="F175" s="8" t="inlineStr">
        <is>
          <t>无</t>
        </is>
      </c>
      <c r="G175" s="10" t="inlineStr">
        <is>
          <t>不限</t>
        </is>
      </c>
      <c r="H175" s="10" t="inlineStr">
        <is>
          <t>无审稿义务</t>
        </is>
      </c>
      <c r="I175" s="8" t="inlineStr">
        <is>
          <t>无</t>
        </is>
      </c>
      <c r="J175" s="8" t="inlineStr">
        <is>
          <t>不强制</t>
        </is>
      </c>
      <c r="K175" s="10" t="inlineStr">
        <is>
          <t>无门槛</t>
        </is>
      </c>
      <c r="L175" s="10" t="inlineStr">
        <is>
          <t>无</t>
        </is>
      </c>
      <c r="M175" s="10" t="inlineStr">
        <is>
          <t>未提及</t>
        </is>
      </c>
      <c r="N175" s="10" t="inlineStr">
        <is>
          <t>https://popl27.sigplan.org/home/pepm-2027</t>
        </is>
      </c>
      <c r="O175" s="8" t="inlineStr">
        <is>
          <t>中</t>
        </is>
      </c>
      <c r="P175" s="10" t="inlineStr">
        <is>
          <t>单盲审；仅要求至少 1 人参会</t>
        </is>
      </c>
    </row>
    <row r="176" ht="30" customHeight="1">
      <c r="A176" s="8" t="n">
        <v>175</v>
      </c>
      <c r="B176" s="9" t="inlineStr">
        <is>
          <t>REFSQ</t>
        </is>
      </c>
      <c r="C176" s="8" t="inlineStr">
        <is>
          <t>C</t>
        </is>
      </c>
      <c r="D176" s="12" t="inlineStr">
        <is>
          <t>软件工程/系统软件</t>
        </is>
      </c>
      <c r="E176" s="8" t="inlineStr">
        <is>
          <t>有专属条款</t>
        </is>
      </c>
      <c r="F176" s="8" t="inlineStr">
        <is>
          <t>只有利好通道</t>
        </is>
      </c>
      <c r="G176" s="10" t="inlineStr">
        <is>
          <t>不限</t>
        </is>
      </c>
      <c r="H176" s="10" t="inlineStr">
        <is>
          <t>无审稿义务</t>
        </is>
      </c>
      <c r="I176" s="8" t="inlineStr">
        <is>
          <t>无</t>
        </is>
      </c>
      <c r="J176" s="8" t="inlineStr">
        <is>
          <t>不强制</t>
        </is>
      </c>
      <c r="K176" s="10" t="inlineStr">
        <is>
          <t>无门槛</t>
        </is>
      </c>
      <c r="L176" s="10" t="inlineStr">
        <is>
          <t>Doctoral Symposium</t>
        </is>
      </c>
      <c r="M176" s="10" t="inlineStr">
        <is>
          <t>未提及</t>
        </is>
      </c>
      <c r="N176" s="10" t="inlineStr">
        <is>
          <t>https://2027.refsq.org/</t>
        </is>
      </c>
      <c r="O176" s="8" t="inlineStr">
        <is>
          <t>高</t>
        </is>
      </c>
      <c r="P176" s="10" t="inlineStr">
        <is>
          <t>DS 截稿 2027-02-04</t>
        </is>
      </c>
    </row>
    <row r="177" ht="30" customHeight="1">
      <c r="A177" s="8" t="n">
        <v>176</v>
      </c>
      <c r="B177" s="9" t="inlineStr">
        <is>
          <t>CPAL</t>
        </is>
      </c>
      <c r="C177" s="8" t="inlineStr">
        <is>
          <t>N</t>
        </is>
      </c>
      <c r="D177" s="12" t="inlineStr">
        <is>
          <t>人工智能</t>
        </is>
      </c>
      <c r="E177" s="8" t="inlineStr">
        <is>
          <t>有专属条款</t>
        </is>
      </c>
      <c r="F177" s="8" t="inlineStr">
        <is>
          <t>只有利好通道</t>
        </is>
      </c>
      <c r="G177" s="10" t="inlineStr">
        <is>
          <t>不限</t>
        </is>
      </c>
      <c r="H177" s="10" t="inlineStr">
        <is>
          <t>无审稿义务</t>
        </is>
      </c>
      <c r="I177" s="8" t="inlineStr">
        <is>
          <t>无</t>
        </is>
      </c>
      <c r="J177" s="8" t="inlineStr">
        <is>
          <t>不强制</t>
        </is>
      </c>
      <c r="K177" s="10" t="inlineStr">
        <is>
          <t>无门槛</t>
        </is>
      </c>
      <c r="L177" s="10" t="inlineStr">
        <is>
          <t>Rising Stars Award（早期职业，含导师指导）</t>
        </is>
      </c>
      <c r="M177" s="10" t="inlineStr">
        <is>
          <t>未提及</t>
        </is>
      </c>
      <c r="N177" s="10" t="inlineStr">
        <is>
          <t>https://cpal.cc/rising_stars_guidelines/</t>
        </is>
      </c>
      <c r="O177" s="8" t="inlineStr">
        <is>
          <t>高</t>
        </is>
      </c>
      <c r="P177" s="10" t="inlineStr">
        <is>
          <t>Rising Stars 每人限 1 份申请，须现场参会</t>
        </is>
      </c>
    </row>
    <row r="178" ht="30" customHeight="1">
      <c r="A178" s="8" t="n">
        <v>177</v>
      </c>
      <c r="B178" s="9" t="inlineStr">
        <is>
          <t>CVC</t>
        </is>
      </c>
      <c r="C178" s="8" t="inlineStr">
        <is>
          <t>N</t>
        </is>
      </c>
      <c r="D178" s="12" t="inlineStr">
        <is>
          <t>人工智能</t>
        </is>
      </c>
      <c r="E178" s="8" t="inlineStr">
        <is>
          <t>CFP未发布</t>
        </is>
      </c>
      <c r="F178" s="8" t="inlineStr">
        <is>
          <t>CFP未发布</t>
        </is>
      </c>
      <c r="G178" s="10" t="inlineStr">
        <is>
          <t>不限</t>
        </is>
      </c>
      <c r="H178" s="10" t="inlineStr">
        <is>
          <t>未找到</t>
        </is>
      </c>
      <c r="I178" s="8" t="inlineStr">
        <is>
          <t>未找到</t>
        </is>
      </c>
      <c r="J178" s="8" t="inlineStr">
        <is>
          <t>待确认</t>
        </is>
      </c>
      <c r="K178" s="10" t="inlineStr">
        <is>
          <t>未找到</t>
        </is>
      </c>
      <c r="L178" s="10" t="inlineStr">
        <is>
          <t>未找到</t>
        </is>
      </c>
      <c r="M178" s="10" t="inlineStr">
        <is>
          <t>未找到</t>
        </is>
      </c>
      <c r="N178" s="10" t="inlineStr">
        <is>
          <t>—</t>
        </is>
      </c>
      <c r="O178" s="8" t="inlineStr">
        <is>
          <t>低</t>
        </is>
      </c>
      <c r="P178" s="10" t="inlineStr">
        <is>
          <t>2027 CFP 未发布，无法核查新人条款</t>
        </is>
      </c>
    </row>
    <row r="179" ht="30" customHeight="1">
      <c r="A179" s="8" t="n">
        <v>178</v>
      </c>
      <c r="B179" s="9" t="inlineStr">
        <is>
          <t>EACL</t>
        </is>
      </c>
      <c r="C179" s="8" t="inlineStr">
        <is>
          <t>N</t>
        </is>
      </c>
      <c r="D179" s="12" t="inlineStr">
        <is>
          <t>人工智能</t>
        </is>
      </c>
      <c r="E179" s="8" t="inlineStr">
        <is>
          <t>有专属条款</t>
        </is>
      </c>
      <c r="F179" s="8" t="inlineStr">
        <is>
          <t>有硬性要求</t>
        </is>
      </c>
      <c r="G179" s="10" t="inlineStr">
        <is>
          <t>不限</t>
        </is>
      </c>
      <c r="H179" s="10" t="inlineStr">
        <is>
          <t>全员须注册审稿或任 AC/SAC，逾期可致下轮禁投</t>
        </is>
      </c>
      <c r="I179" s="8" t="inlineStr">
        <is>
          <t>无</t>
        </is>
      </c>
      <c r="J179" s="8" t="inlineStr">
        <is>
          <t>不强制</t>
        </is>
      </c>
      <c r="K179" s="10" t="inlineStr">
        <is>
          <t>OpenReview 投稿；作者须 8/5 前填注册表</t>
        </is>
      </c>
      <c r="L179" s="10" t="inlineStr">
        <is>
          <t>无</t>
        </is>
      </c>
      <c r="M179" s="10" t="inlineStr">
        <is>
          <t>未提及</t>
        </is>
      </c>
      <c r="N179" s="10" t="inlineStr">
        <is>
          <t>https://2027.eacl.org/calls/papers/</t>
        </is>
      </c>
      <c r="O179" s="8" t="inlineStr">
        <is>
          <t>高</t>
        </is>
      </c>
      <c r="P179" s="10" t="inlineStr">
        <is>
          <t>该页未见 SRW/学生通道</t>
        </is>
      </c>
    </row>
    <row r="180" ht="30" customHeight="1">
      <c r="A180" s="8" t="n">
        <v>179</v>
      </c>
      <c r="B180" s="9" t="inlineStr">
        <is>
          <t>ESANN</t>
        </is>
      </c>
      <c r="C180" s="8" t="inlineStr">
        <is>
          <t>N</t>
        </is>
      </c>
      <c r="D180" s="12" t="inlineStr">
        <is>
          <t>人工智能</t>
        </is>
      </c>
      <c r="E180" s="8" t="inlineStr">
        <is>
          <t>无专属条款</t>
        </is>
      </c>
      <c r="F180" s="8" t="inlineStr">
        <is>
          <t>无</t>
        </is>
      </c>
      <c r="G180" s="10" t="inlineStr">
        <is>
          <t>不限</t>
        </is>
      </c>
      <c r="H180" s="10" t="inlineStr">
        <is>
          <t>无审稿义务</t>
        </is>
      </c>
      <c r="I180" s="8" t="inlineStr">
        <is>
          <t>无</t>
        </is>
      </c>
      <c r="J180" s="8" t="inlineStr">
        <is>
          <t>不强制</t>
        </is>
      </c>
      <c r="K180" s="10" t="inlineStr">
        <is>
          <t>无门槛</t>
        </is>
      </c>
      <c r="L180" s="10" t="inlineStr">
        <is>
          <t>无</t>
        </is>
      </c>
      <c r="M180" s="10" t="inlineStr">
        <is>
          <t>未提及</t>
        </is>
      </c>
      <c r="N180" s="10" t="inlineStr">
        <is>
          <t>https://www.esann.org/author_guidelines</t>
        </is>
      </c>
      <c r="O180" s="8" t="inlineStr">
        <is>
          <t>中</t>
        </is>
      </c>
      <c r="P180" s="10" t="inlineStr">
        <is>
          <t>作者页仅规定6页、单盲、注册义务</t>
        </is>
      </c>
    </row>
    <row r="181" ht="30" customHeight="1">
      <c r="A181" s="8" t="n">
        <v>180</v>
      </c>
      <c r="B181" s="9" t="inlineStr">
        <is>
          <t>EuroGP</t>
        </is>
      </c>
      <c r="C181" s="8" t="inlineStr">
        <is>
          <t>N</t>
        </is>
      </c>
      <c r="D181" s="12" t="inlineStr">
        <is>
          <t>人工智能</t>
        </is>
      </c>
      <c r="E181" s="8" t="inlineStr">
        <is>
          <t>有专属条款</t>
        </is>
      </c>
      <c r="F181" s="8" t="inlineStr">
        <is>
          <t>只有利好通道</t>
        </is>
      </c>
      <c r="G181" s="10" t="inlineStr">
        <is>
          <t>不限</t>
        </is>
      </c>
      <c r="H181" s="10" t="inlineStr">
        <is>
          <t>无审稿义务</t>
        </is>
      </c>
      <c r="I181" s="8" t="inlineStr">
        <is>
          <t>无</t>
        </is>
      </c>
      <c r="J181" s="8" t="inlineStr">
        <is>
          <t>不强制</t>
        </is>
      </c>
      <c r="K181" s="10" t="inlineStr">
        <is>
          <t>无门槛</t>
        </is>
      </c>
      <c r="L181" s="10" t="inlineStr">
        <is>
          <t>Outstanding Student 提名</t>
        </is>
      </c>
      <c r="M181" s="10" t="inlineStr">
        <is>
          <t>须提交在读证明；入选者下届免费注册</t>
        </is>
      </c>
      <c r="N181" s="10" t="inlineStr">
        <is>
          <t>https://www.evostar.org/2027/evostar-outstanding-students/</t>
        </is>
      </c>
      <c r="O181" s="8" t="inlineStr">
        <is>
          <t>高</t>
        </is>
      </c>
      <c r="P181" s="10" t="inlineStr">
        <is>
          <t>学生论文须上传全体作者签字声明</t>
        </is>
      </c>
    </row>
    <row r="182" ht="30" customHeight="1">
      <c r="A182" s="8" t="n">
        <v>181</v>
      </c>
      <c r="B182" s="9" t="inlineStr">
        <is>
          <t>EvoApplications</t>
        </is>
      </c>
      <c r="C182" s="8" t="inlineStr">
        <is>
          <t>N</t>
        </is>
      </c>
      <c r="D182" s="12" t="inlineStr">
        <is>
          <t>人工智能</t>
        </is>
      </c>
      <c r="E182" s="8" t="inlineStr">
        <is>
          <t>有专属条款</t>
        </is>
      </c>
      <c r="F182" s="8" t="inlineStr">
        <is>
          <t>只有利好通道</t>
        </is>
      </c>
      <c r="G182" s="10" t="inlineStr">
        <is>
          <t>不限</t>
        </is>
      </c>
      <c r="H182" s="10" t="inlineStr">
        <is>
          <t>无审稿义务</t>
        </is>
      </c>
      <c r="I182" s="8" t="inlineStr">
        <is>
          <t>无</t>
        </is>
      </c>
      <c r="J182" s="8" t="inlineStr">
        <is>
          <t>不强制</t>
        </is>
      </c>
      <c r="K182" s="10" t="inlineStr">
        <is>
          <t>无门槛</t>
        </is>
      </c>
      <c r="L182" s="10" t="inlineStr">
        <is>
          <t>Outstanding Student 提名</t>
        </is>
      </c>
      <c r="M182" s="10" t="inlineStr">
        <is>
          <t>须提交在读证明；入选者下届免费注册</t>
        </is>
      </c>
      <c r="N182" s="10" t="inlineStr">
        <is>
          <t>https://www.evostar.org/2027/evostar-outstanding-students/</t>
        </is>
      </c>
      <c r="O182" s="8" t="inlineStr">
        <is>
          <t>高</t>
        </is>
      </c>
      <c r="P182" s="10" t="inlineStr">
        <is>
          <t>学生论文须上传全体作者签字声明</t>
        </is>
      </c>
    </row>
    <row r="183" ht="30" customHeight="1">
      <c r="A183" s="8" t="n">
        <v>182</v>
      </c>
      <c r="B183" s="9" t="inlineStr">
        <is>
          <t>EvoCOP</t>
        </is>
      </c>
      <c r="C183" s="8" t="inlineStr">
        <is>
          <t>N</t>
        </is>
      </c>
      <c r="D183" s="12" t="inlineStr">
        <is>
          <t>人工智能</t>
        </is>
      </c>
      <c r="E183" s="8" t="inlineStr">
        <is>
          <t>有专属条款</t>
        </is>
      </c>
      <c r="F183" s="8" t="inlineStr">
        <is>
          <t>只有利好通道</t>
        </is>
      </c>
      <c r="G183" s="10" t="inlineStr">
        <is>
          <t>不限</t>
        </is>
      </c>
      <c r="H183" s="10" t="inlineStr">
        <is>
          <t>无审稿义务</t>
        </is>
      </c>
      <c r="I183" s="8" t="inlineStr">
        <is>
          <t>无</t>
        </is>
      </c>
      <c r="J183" s="8" t="inlineStr">
        <is>
          <t>不强制</t>
        </is>
      </c>
      <c r="K183" s="10" t="inlineStr">
        <is>
          <t>无门槛</t>
        </is>
      </c>
      <c r="L183" s="10" t="inlineStr">
        <is>
          <t>Outstanding Student 提名</t>
        </is>
      </c>
      <c r="M183" s="10" t="inlineStr">
        <is>
          <t>须提交在读证明；入选者下届免费注册</t>
        </is>
      </c>
      <c r="N183" s="10" t="inlineStr">
        <is>
          <t>https://www.evostar.org/2027/evostar-outstanding-students/</t>
        </is>
      </c>
      <c r="O183" s="8" t="inlineStr">
        <is>
          <t>高</t>
        </is>
      </c>
      <c r="P183" s="10" t="inlineStr">
        <is>
          <t>学生论文须上传全体作者签字声明</t>
        </is>
      </c>
    </row>
    <row r="184" ht="30" customHeight="1">
      <c r="A184" s="8" t="n">
        <v>183</v>
      </c>
      <c r="B184" s="9" t="inlineStr">
        <is>
          <t>EvoMUSART</t>
        </is>
      </c>
      <c r="C184" s="8" t="inlineStr">
        <is>
          <t>N</t>
        </is>
      </c>
      <c r="D184" s="12" t="inlineStr">
        <is>
          <t>人工智能</t>
        </is>
      </c>
      <c r="E184" s="8" t="inlineStr">
        <is>
          <t>有专属条款</t>
        </is>
      </c>
      <c r="F184" s="8" t="inlineStr">
        <is>
          <t>只有利好通道</t>
        </is>
      </c>
      <c r="G184" s="10" t="inlineStr">
        <is>
          <t>不限</t>
        </is>
      </c>
      <c r="H184" s="10" t="inlineStr">
        <is>
          <t>无审稿义务</t>
        </is>
      </c>
      <c r="I184" s="8" t="inlineStr">
        <is>
          <t>无</t>
        </is>
      </c>
      <c r="J184" s="8" t="inlineStr">
        <is>
          <t>不强制</t>
        </is>
      </c>
      <c r="K184" s="10" t="inlineStr">
        <is>
          <t>无门槛</t>
        </is>
      </c>
      <c r="L184" s="10" t="inlineStr">
        <is>
          <t>Outstanding Student 提名</t>
        </is>
      </c>
      <c r="M184" s="10" t="inlineStr">
        <is>
          <t>须提交在读证明；入选者下届免费注册</t>
        </is>
      </c>
      <c r="N184" s="10" t="inlineStr">
        <is>
          <t>https://www.evostar.org/2027/evostar-outstanding-students/</t>
        </is>
      </c>
      <c r="O184" s="8" t="inlineStr">
        <is>
          <t>高</t>
        </is>
      </c>
      <c r="P184" s="10" t="inlineStr">
        <is>
          <t>学生论文须上传全体作者签字声明</t>
        </is>
      </c>
    </row>
    <row r="185" ht="30" customHeight="1">
      <c r="A185" s="8" t="n">
        <v>184</v>
      </c>
      <c r="B185" s="9" t="inlineStr">
        <is>
          <t>RSS</t>
        </is>
      </c>
      <c r="C185" s="8" t="inlineStr">
        <is>
          <t>N</t>
        </is>
      </c>
      <c r="D185" s="12" t="inlineStr">
        <is>
          <t>人工智能</t>
        </is>
      </c>
      <c r="E185" s="8" t="inlineStr">
        <is>
          <t>有专属条款</t>
        </is>
      </c>
      <c r="F185" s="8" t="inlineStr">
        <is>
          <t>有硬性要求</t>
        </is>
      </c>
      <c r="G185" s="10" t="inlineStr">
        <is>
          <t>不限</t>
        </is>
      </c>
      <c r="H185" s="10" t="inlineStr">
        <is>
          <t>无审稿义务</t>
        </is>
      </c>
      <c r="I185" s="8" t="inlineStr">
        <is>
          <t>无</t>
        </is>
      </c>
      <c r="J185" s="8" t="inlineStr">
        <is>
          <t>不强制</t>
        </is>
      </c>
      <c r="K185" s="10" t="inlineStr">
        <is>
          <t>OpenReview 账号；非机构邮箱审核约2周</t>
        </is>
      </c>
      <c r="L185" s="10" t="inlineStr">
        <is>
          <t>无</t>
        </is>
      </c>
      <c r="M185" s="10" t="inlineStr">
        <is>
          <t>未提及</t>
        </is>
      </c>
      <c r="N185" s="10" t="inlineStr">
        <is>
          <t>https://roboticsconference.org/information/cfp/</t>
        </is>
      </c>
      <c r="O185" s="8" t="inlineStr">
        <is>
          <t>高</t>
        </is>
      </c>
      <c r="P185" s="10" t="inlineStr">
        <is>
          <t>Stage 1 作者名单视为最终，增删须主席批准</t>
        </is>
      </c>
    </row>
    <row r="186" ht="30" customHeight="1">
      <c r="A186" s="8" t="n">
        <v>185</v>
      </c>
      <c r="B186" s="9" t="inlineStr">
        <is>
          <t>WACV</t>
        </is>
      </c>
      <c r="C186" s="8" t="inlineStr">
        <is>
          <t>N</t>
        </is>
      </c>
      <c r="D186" s="12" t="inlineStr">
        <is>
          <t>人工智能</t>
        </is>
      </c>
      <c r="E186" s="8" t="inlineStr">
        <is>
          <t>有专属条款</t>
        </is>
      </c>
      <c r="F186" s="8" t="inlineStr">
        <is>
          <t>有硬性要求</t>
        </is>
      </c>
      <c r="G186" s="10" t="inlineStr">
        <is>
          <t>不限</t>
        </is>
      </c>
      <c r="H186" s="10" t="inlineStr">
        <is>
          <t>作者须承担审稿，每轮3-4篇，全程约6-7篇</t>
        </is>
      </c>
      <c r="I186" s="8" t="inlineStr">
        <is>
          <t>无</t>
        </is>
      </c>
      <c r="J186" s="8" t="inlineStr">
        <is>
          <t>不强制</t>
        </is>
      </c>
      <c r="K186" s="10" t="inlineStr">
        <is>
          <t>OpenReview 档案；非机构邮箱审核约2周</t>
        </is>
      </c>
      <c r="L186" s="10" t="inlineStr">
        <is>
          <t>Doctoral Consortium</t>
        </is>
      </c>
      <c r="M186" s="10" t="inlineStr">
        <is>
          <t>DC 提供注册费减免与部分差旅资助</t>
        </is>
      </c>
      <c r="N186" s="10" t="inlineStr">
        <is>
          <t>https://wacv.thecvf.com/Conferences/2027/AuthorGuides</t>
        </is>
      </c>
      <c r="O186" s="8" t="inlineStr">
        <is>
          <t>高</t>
        </is>
      </c>
      <c r="P186" s="10" t="inlineStr">
        <is>
          <t>投稿即视为同意担任审稿人或AC</t>
        </is>
      </c>
    </row>
    <row r="187" ht="30" customHeight="1">
      <c r="A187" s="8" t="n">
        <v>186</v>
      </c>
      <c r="B187" s="9" t="inlineStr">
        <is>
          <t>ACM SIGGRAPH ASIA</t>
        </is>
      </c>
      <c r="C187" s="8" t="inlineStr">
        <is>
          <t>N</t>
        </is>
      </c>
      <c r="D187" s="12" t="inlineStr">
        <is>
          <t>图形学与多媒体</t>
        </is>
      </c>
      <c r="E187" s="8" t="inlineStr">
        <is>
          <t>CFP未发布</t>
        </is>
      </c>
      <c r="F187" s="8" t="inlineStr">
        <is>
          <t>CFP未发布</t>
        </is>
      </c>
      <c r="G187" s="10" t="inlineStr">
        <is>
          <t>不限</t>
        </is>
      </c>
      <c r="H187" s="10" t="inlineStr">
        <is>
          <t>未找到</t>
        </is>
      </c>
      <c r="I187" s="8" t="inlineStr">
        <is>
          <t>未找到</t>
        </is>
      </c>
      <c r="J187" s="8" t="inlineStr">
        <is>
          <t>待确认</t>
        </is>
      </c>
      <c r="K187" s="10" t="inlineStr">
        <is>
          <t>未找到</t>
        </is>
      </c>
      <c r="L187" s="10" t="inlineStr">
        <is>
          <t>未找到</t>
        </is>
      </c>
      <c r="M187" s="10" t="inlineStr">
        <is>
          <t>未找到</t>
        </is>
      </c>
      <c r="N187" s="10" t="inlineStr">
        <is>
          <t>—</t>
        </is>
      </c>
      <c r="O187" s="8" t="inlineStr">
        <is>
          <t>低</t>
        </is>
      </c>
      <c r="P187" s="10" t="inlineStr">
        <is>
          <t>2027 CFP 未发布，无法核查新人条款</t>
        </is>
      </c>
    </row>
    <row r="188" ht="30" customHeight="1">
      <c r="A188" s="8" t="n">
        <v>187</v>
      </c>
      <c r="B188" s="9" t="inlineStr">
        <is>
          <t>EUSIPCO</t>
        </is>
      </c>
      <c r="C188" s="8" t="inlineStr">
        <is>
          <t>N</t>
        </is>
      </c>
      <c r="D188" s="12" t="inlineStr">
        <is>
          <t>图形学与多媒体</t>
        </is>
      </c>
      <c r="E188" s="8" t="inlineStr">
        <is>
          <t>有专属条款</t>
        </is>
      </c>
      <c r="F188" s="8" t="inlineStr">
        <is>
          <t>只有利好通道</t>
        </is>
      </c>
      <c r="G188" s="10" t="inlineStr">
        <is>
          <t>不限</t>
        </is>
      </c>
      <c r="H188" s="10" t="inlineStr">
        <is>
          <t>无审稿义务</t>
        </is>
      </c>
      <c r="I188" s="8" t="inlineStr">
        <is>
          <t>无</t>
        </is>
      </c>
      <c r="J188" s="8" t="inlineStr">
        <is>
          <t>不强制</t>
        </is>
      </c>
      <c r="K188" s="10" t="inlineStr">
        <is>
          <t>无门槛</t>
        </is>
      </c>
      <c r="L188" s="10" t="inlineStr">
        <is>
          <t>Best Student Paper Contest,Student Challenge,Student Luncheon</t>
        </is>
      </c>
      <c r="M188" s="10" t="inlineStr">
        <is>
          <t>学生差旅资助（Coming Soon）</t>
        </is>
      </c>
      <c r="N188" s="10" t="inlineStr">
        <is>
          <t>https://eusipco2027.de/conference-papers/</t>
        </is>
      </c>
      <c r="O188" s="8" t="inlineStr">
        <is>
          <t>高</t>
        </is>
      </c>
      <c r="P188" s="10" t="inlineStr">
        <is>
          <t>学生相关项目均标注Coming Soon，细则待发布</t>
        </is>
      </c>
    </row>
    <row r="189" ht="30" customHeight="1">
      <c r="A189" s="8" t="n">
        <v>188</v>
      </c>
      <c r="B189" s="9" t="inlineStr">
        <is>
          <t>IEEE CoG</t>
        </is>
      </c>
      <c r="C189" s="8" t="inlineStr">
        <is>
          <t>N</t>
        </is>
      </c>
      <c r="D189" s="12" t="inlineStr">
        <is>
          <t>图形学与多媒体</t>
        </is>
      </c>
      <c r="E189" s="8" t="inlineStr">
        <is>
          <t>未找到</t>
        </is>
      </c>
      <c r="F189" s="8" t="inlineStr">
        <is>
          <t>未找到</t>
        </is>
      </c>
      <c r="G189" s="10" t="inlineStr">
        <is>
          <t>不限</t>
        </is>
      </c>
      <c r="H189" s="10" t="inlineStr">
        <is>
          <t>未找到</t>
        </is>
      </c>
      <c r="I189" s="8" t="inlineStr">
        <is>
          <t>未找到</t>
        </is>
      </c>
      <c r="J189" s="8" t="inlineStr">
        <is>
          <t>待确认</t>
        </is>
      </c>
      <c r="K189" s="10" t="inlineStr">
        <is>
          <t>未找到</t>
        </is>
      </c>
      <c r="L189" s="10" t="inlineStr">
        <is>
          <t>未找到</t>
        </is>
      </c>
      <c r="M189" s="10" t="inlineStr">
        <is>
          <t>未提及</t>
        </is>
      </c>
      <c r="N189" s="10" t="inlineStr">
        <is>
          <t>https://cog2027.u-aizu.ac.jp/</t>
        </is>
      </c>
      <c r="O189" s="8" t="inlineStr">
        <is>
          <t>低</t>
        </is>
      </c>
      <c r="P189" s="10" t="inlineStr">
        <is>
          <t>站点为 JS 渲染，未取到有效正文</t>
        </is>
      </c>
    </row>
    <row r="190" ht="30" customHeight="1">
      <c r="A190" s="8" t="n">
        <v>189</v>
      </c>
      <c r="B190" s="9" t="inlineStr">
        <is>
          <t>ISIT</t>
        </is>
      </c>
      <c r="C190" s="8" t="inlineStr">
        <is>
          <t>N</t>
        </is>
      </c>
      <c r="D190" s="12" t="inlineStr">
        <is>
          <t>计算机科学理论</t>
        </is>
      </c>
      <c r="E190" s="8" t="inlineStr">
        <is>
          <t>无专属条款</t>
        </is>
      </c>
      <c r="F190" s="8" t="inlineStr">
        <is>
          <t>无</t>
        </is>
      </c>
      <c r="G190" s="10" t="inlineStr">
        <is>
          <t>不限</t>
        </is>
      </c>
      <c r="H190" s="10" t="inlineStr">
        <is>
          <t>无审稿义务</t>
        </is>
      </c>
      <c r="I190" s="8" t="inlineStr">
        <is>
          <t>无</t>
        </is>
      </c>
      <c r="J190" s="8" t="inlineStr">
        <is>
          <t>不强制</t>
        </is>
      </c>
      <c r="K190" s="10" t="inlineStr">
        <is>
          <t>无门槛</t>
        </is>
      </c>
      <c r="L190" s="10" t="inlineStr">
        <is>
          <t>无</t>
        </is>
      </c>
      <c r="M190" s="10" t="inlineStr">
        <is>
          <t>未提及</t>
        </is>
      </c>
      <c r="N190" s="10" t="inlineStr">
        <is>
          <t>https://2027.ieee-isit.org/call-papers</t>
        </is>
      </c>
      <c r="O190" s="8" t="inlineStr">
        <is>
          <t>中</t>
        </is>
      </c>
      <c r="P190" s="10" t="inlineStr">
        <is>
          <t>CFP仅要求至少一位作者全费注册并现场报告</t>
        </is>
      </c>
    </row>
    <row r="191" ht="30" customHeight="1">
      <c r="A191" s="8" t="n">
        <v>190</v>
      </c>
      <c r="B191" s="9" t="inlineStr">
        <is>
          <t>CHIIR</t>
        </is>
      </c>
      <c r="C191" s="8" t="inlineStr">
        <is>
          <t>N</t>
        </is>
      </c>
      <c r="D191" s="12" t="inlineStr">
        <is>
          <t>数据库/数据挖掘</t>
        </is>
      </c>
      <c r="E191" s="8" t="inlineStr">
        <is>
          <t>有专属条款</t>
        </is>
      </c>
      <c r="F191" s="8" t="inlineStr">
        <is>
          <t>只有利好通道</t>
        </is>
      </c>
      <c r="G191" s="10" t="inlineStr">
        <is>
          <t>不限</t>
        </is>
      </c>
      <c r="H191" s="10" t="inlineStr">
        <is>
          <t>无审稿义务</t>
        </is>
      </c>
      <c r="I191" s="8" t="inlineStr">
        <is>
          <t>无</t>
        </is>
      </c>
      <c r="J191" s="8" t="inlineStr">
        <is>
          <t>不强制</t>
        </is>
      </c>
      <c r="K191" s="10" t="inlineStr">
        <is>
          <t>无门槛</t>
        </is>
      </c>
      <c r="L191" s="10" t="inlineStr">
        <is>
          <t>Doctoral Consortium,Student Volunteers</t>
        </is>
      </c>
      <c r="M191" s="10" t="inlineStr">
        <is>
          <t>DC 学生可申请 ACM SIGIR 学生差旅资助</t>
        </is>
      </c>
      <c r="N191" s="10" t="inlineStr">
        <is>
          <t>https://chiir2027.github.io/doctoral-consortium-papers.html</t>
        </is>
      </c>
      <c r="O191" s="8" t="inlineStr">
        <is>
          <t>高</t>
        </is>
      </c>
      <c r="P191" s="10" t="inlineStr">
        <is>
          <t>DC 投稿须导师签字，仅限DC通道，非主会要求</t>
        </is>
      </c>
    </row>
    <row r="192" ht="30" customHeight="1">
      <c r="A192" s="8" t="n">
        <v>191</v>
      </c>
      <c r="B192" s="9" t="inlineStr">
        <is>
          <t>CLEF</t>
        </is>
      </c>
      <c r="C192" s="8" t="inlineStr">
        <is>
          <t>N</t>
        </is>
      </c>
      <c r="D192" s="12" t="inlineStr">
        <is>
          <t>数据库/数据挖掘</t>
        </is>
      </c>
      <c r="E192" s="8" t="inlineStr">
        <is>
          <t>CFP未发布</t>
        </is>
      </c>
      <c r="F192" s="8" t="inlineStr">
        <is>
          <t>CFP未发布</t>
        </is>
      </c>
      <c r="G192" s="10" t="inlineStr">
        <is>
          <t>不限</t>
        </is>
      </c>
      <c r="H192" s="10" t="inlineStr">
        <is>
          <t>未找到</t>
        </is>
      </c>
      <c r="I192" s="8" t="inlineStr">
        <is>
          <t>未找到</t>
        </is>
      </c>
      <c r="J192" s="8" t="inlineStr">
        <is>
          <t>待确认</t>
        </is>
      </c>
      <c r="K192" s="10" t="inlineStr">
        <is>
          <t>未找到</t>
        </is>
      </c>
      <c r="L192" s="10" t="inlineStr">
        <is>
          <t>未找到</t>
        </is>
      </c>
      <c r="M192" s="10" t="inlineStr">
        <is>
          <t>未找到</t>
        </is>
      </c>
      <c r="N192" s="10" t="inlineStr">
        <is>
          <t>—</t>
        </is>
      </c>
      <c r="O192" s="8" t="inlineStr">
        <is>
          <t>低</t>
        </is>
      </c>
      <c r="P192" s="10" t="inlineStr">
        <is>
          <t>2027 CFP 未发布，无法核查新人条款</t>
        </is>
      </c>
    </row>
    <row r="193" ht="30" customHeight="1">
      <c r="A193" s="8" t="n">
        <v>192</v>
      </c>
      <c r="B193" s="9" t="inlineStr">
        <is>
          <t>HICSS</t>
        </is>
      </c>
      <c r="C193" s="8" t="inlineStr">
        <is>
          <t>N</t>
        </is>
      </c>
      <c r="D193" s="12" t="inlineStr">
        <is>
          <t>人机交互与普适计算</t>
        </is>
      </c>
      <c r="E193" s="8" t="inlineStr">
        <is>
          <t>未找到</t>
        </is>
      </c>
      <c r="F193" s="8" t="inlineStr">
        <is>
          <t>未找到</t>
        </is>
      </c>
      <c r="G193" s="10" t="inlineStr">
        <is>
          <t>5 篇/届</t>
        </is>
      </c>
      <c r="H193" s="10" t="inlineStr">
        <is>
          <t>待确认</t>
        </is>
      </c>
      <c r="I193" s="8" t="inlineStr">
        <is>
          <t>待确认</t>
        </is>
      </c>
      <c r="J193" s="8" t="inlineStr">
        <is>
          <t>待确认</t>
        </is>
      </c>
      <c r="K193" s="10" t="inlineStr">
        <is>
          <t>待确认</t>
        </is>
      </c>
      <c r="L193" s="10" t="inlineStr">
        <is>
          <t>待确认</t>
        </is>
      </c>
      <c r="M193" s="10" t="inlineStr">
        <is>
          <t>待确认</t>
        </is>
      </c>
      <c r="N193" s="10" t="inlineStr">
        <is>
          <t>https://hicss.hawaii.edu</t>
        </is>
      </c>
      <c r="O193" s="8" t="inlineStr">
        <is>
          <t>低</t>
        </is>
      </c>
      <c r="P193" s="10" t="inlineStr">
        <is>
          <t>站点维护中（8:00-17:00 HST）无法读取</t>
        </is>
      </c>
    </row>
    <row r="194" ht="30" customHeight="1">
      <c r="A194" s="8" t="n">
        <v>193</v>
      </c>
      <c r="B194" s="9" t="inlineStr">
        <is>
          <t>BIS</t>
        </is>
      </c>
      <c r="C194" s="8" t="inlineStr">
        <is>
          <t>N</t>
        </is>
      </c>
      <c r="D194" s="12" t="inlineStr">
        <is>
          <t>交叉/综合/新兴</t>
        </is>
      </c>
      <c r="E194" s="8" t="inlineStr">
        <is>
          <t>无专属条款</t>
        </is>
      </c>
      <c r="F194" s="8" t="inlineStr">
        <is>
          <t>无</t>
        </is>
      </c>
      <c r="G194" s="10" t="inlineStr">
        <is>
          <t>不限</t>
        </is>
      </c>
      <c r="H194" s="10" t="inlineStr">
        <is>
          <t>无审稿义务</t>
        </is>
      </c>
      <c r="I194" s="8" t="inlineStr">
        <is>
          <t>无</t>
        </is>
      </c>
      <c r="J194" s="8" t="inlineStr">
        <is>
          <t>不强制</t>
        </is>
      </c>
      <c r="K194" s="10" t="inlineStr">
        <is>
          <t>无门槛</t>
        </is>
      </c>
      <c r="L194" s="10" t="inlineStr">
        <is>
          <t>无</t>
        </is>
      </c>
      <c r="M194" s="10" t="inlineStr">
        <is>
          <t>未提及</t>
        </is>
      </c>
      <c r="N194" s="10" t="inlineStr">
        <is>
          <t>http://bisconf.org/2027/call-for-papers/</t>
        </is>
      </c>
      <c r="O194" s="8" t="inlineStr">
        <is>
          <t>中</t>
        </is>
      </c>
      <c r="P194" s="10" t="inlineStr">
        <is>
          <t>CFP规定12页、LNBIP、不需匿名，无新人条款</t>
        </is>
      </c>
    </row>
    <row r="195" ht="30" customHeight="1">
      <c r="A195" s="8" t="n">
        <v>194</v>
      </c>
      <c r="B195" s="9" t="inlineStr">
        <is>
          <t>MLSys</t>
        </is>
      </c>
      <c r="C195" s="8" t="inlineStr">
        <is>
          <t>N</t>
        </is>
      </c>
      <c r="D195" s="12" t="inlineStr">
        <is>
          <t>交叉/综合/新兴</t>
        </is>
      </c>
      <c r="E195" s="8" t="inlineStr">
        <is>
          <t>有专属条款</t>
        </is>
      </c>
      <c r="F195" s="8" t="inlineStr">
        <is>
          <t>有硬性要求</t>
        </is>
      </c>
      <c r="G195" s="10" t="inlineStr">
        <is>
          <t>2 篇起（按合著人数配额）</t>
        </is>
      </c>
      <c r="H195" s="10" t="inlineStr">
        <is>
          <t>无审稿义务</t>
        </is>
      </c>
      <c r="I195" s="8" t="inlineStr">
        <is>
          <t>2 篇（全为单作者时）</t>
        </is>
      </c>
      <c r="J195" s="8" t="inlineStr">
        <is>
          <t>不强制</t>
        </is>
      </c>
      <c r="K195" s="10" t="inlineStr">
        <is>
          <t>OpenReview 完整档案，须提前两周建号</t>
        </is>
      </c>
      <c r="L195" s="10" t="inlineStr">
        <is>
          <t>无</t>
        </is>
      </c>
      <c r="M195" s="10" t="inlineStr">
        <is>
          <t>未提及</t>
        </is>
      </c>
      <c r="N195" s="10" t="inlineStr">
        <is>
          <t>https://mlsys.org/Conferences/2027/CallForResearchPapers</t>
        </is>
      </c>
      <c r="O195" s="8" t="inlineStr">
        <is>
          <t>高</t>
        </is>
      </c>
      <c r="P195" s="10" t="inlineStr">
        <is>
          <t>配额按调和规则 N1=2/N10=20，超限即被desk reject</t>
        </is>
      </c>
    </row>
    <row r="196" ht="30" customHeight="1">
      <c r="A196" s="8" t="n">
        <v>195</v>
      </c>
      <c r="B196" s="9" t="inlineStr">
        <is>
          <t>SAI</t>
        </is>
      </c>
      <c r="C196" s="8" t="inlineStr">
        <is>
          <t>N</t>
        </is>
      </c>
      <c r="D196" s="12" t="inlineStr">
        <is>
          <t>交叉/综合/新兴</t>
        </is>
      </c>
      <c r="E196" s="8" t="inlineStr">
        <is>
          <t>无专属条款</t>
        </is>
      </c>
      <c r="F196" s="8" t="inlineStr">
        <is>
          <t>无</t>
        </is>
      </c>
      <c r="G196" s="10" t="inlineStr">
        <is>
          <t>不限</t>
        </is>
      </c>
      <c r="H196" s="10" t="inlineStr">
        <is>
          <t>无审稿义务</t>
        </is>
      </c>
      <c r="I196" s="8" t="inlineStr">
        <is>
          <t>无</t>
        </is>
      </c>
      <c r="J196" s="8" t="inlineStr">
        <is>
          <t>不强制</t>
        </is>
      </c>
      <c r="K196" s="10" t="inlineStr">
        <is>
          <t>无门槛</t>
        </is>
      </c>
      <c r="L196" s="10" t="inlineStr">
        <is>
          <t>无</t>
        </is>
      </c>
      <c r="M196" s="10" t="inlineStr">
        <is>
          <t>未提及学生费率</t>
        </is>
      </c>
      <c r="N196" s="10" t="inlineStr">
        <is>
          <t>https://saiconference.com/Computing</t>
        </is>
      </c>
      <c r="O196" s="8" t="inlineStr">
        <is>
          <t>中</t>
        </is>
      </c>
      <c r="P196" s="10" t="inlineStr">
        <is>
          <t>主页FAQ含投稿/评审/注册政策，未见A-F类条款</t>
        </is>
      </c>
    </row>
    <row r="197" ht="30" customHeight="1">
      <c r="A197" s="8" t="n">
        <v>196</v>
      </c>
      <c r="B197" s="9" t="inlineStr">
        <is>
          <t>SIGCSE</t>
        </is>
      </c>
      <c r="C197" s="8" t="inlineStr">
        <is>
          <t>N</t>
        </is>
      </c>
      <c r="D197" s="12" t="inlineStr">
        <is>
          <t>交叉/综合/新兴</t>
        </is>
      </c>
      <c r="E197" s="8" t="inlineStr">
        <is>
          <t>有专属条款</t>
        </is>
      </c>
      <c r="F197" s="8" t="inlineStr">
        <is>
          <t>只有利好通道</t>
        </is>
      </c>
      <c r="G197" s="10" t="inlineStr">
        <is>
          <t>不限</t>
        </is>
      </c>
      <c r="H197" s="10" t="inlineStr">
        <is>
          <t>无审稿义务</t>
        </is>
      </c>
      <c r="I197" s="8" t="inlineStr">
        <is>
          <t>无</t>
        </is>
      </c>
      <c r="J197" s="8" t="inlineStr">
        <is>
          <t>不强制</t>
        </is>
      </c>
      <c r="K197" s="10" t="inlineStr">
        <is>
          <t>无门槛</t>
        </is>
      </c>
      <c r="L197" s="10" t="inlineStr">
        <is>
          <t>ACM Student Research Competition, Doctoral Consortium</t>
        </is>
      </c>
      <c r="M197" s="10" t="inlineStr">
        <is>
          <t>未提及</t>
        </is>
      </c>
      <c r="N197" s="10" t="inlineStr">
        <is>
          <t>https://2027.sigcse-ts.acm.org/</t>
        </is>
      </c>
      <c r="O197" s="8" t="inlineStr">
        <is>
          <t>高</t>
        </is>
      </c>
      <c r="P197" s="10" t="inlineStr">
        <is>
          <t>审稿人为自愿征集；学生赛道属第二轮投稿</t>
        </is>
      </c>
    </row>
    <row r="198" ht="30" customHeight="1">
      <c r="A198" s="8" t="n">
        <v>197</v>
      </c>
      <c r="B198" s="9" t="inlineStr">
        <is>
          <t>MMSys</t>
        </is>
      </c>
      <c r="C198" s="8" t="inlineStr">
        <is>
          <t>N</t>
        </is>
      </c>
      <c r="D198" s="12" t="inlineStr">
        <is>
          <t>计算机网络</t>
        </is>
      </c>
      <c r="E198" s="8" t="inlineStr">
        <is>
          <t>未找到</t>
        </is>
      </c>
      <c r="F198" s="8" t="inlineStr">
        <is>
          <t>未找到</t>
        </is>
      </c>
      <c r="G198" s="10" t="inlineStr">
        <is>
          <t>不限</t>
        </is>
      </c>
      <c r="H198" s="10" t="inlineStr">
        <is>
          <t>未找到</t>
        </is>
      </c>
      <c r="I198" s="8" t="inlineStr">
        <is>
          <t>未找到</t>
        </is>
      </c>
      <c r="J198" s="8" t="inlineStr">
        <is>
          <t>待确认</t>
        </is>
      </c>
      <c r="K198" s="10" t="inlineStr">
        <is>
          <t>未找到</t>
        </is>
      </c>
      <c r="L198" s="10" t="inlineStr">
        <is>
          <t>未找到</t>
        </is>
      </c>
      <c r="M198" s="10" t="inlineStr">
        <is>
          <t>未找到</t>
        </is>
      </c>
      <c r="N198" s="10" t="inlineStr">
        <is>
          <t>https://2027.acmmmsys.org</t>
        </is>
      </c>
      <c r="O198" s="8" t="inlineStr">
        <is>
          <t>低</t>
        </is>
      </c>
      <c r="P198" s="10" t="inlineStr">
        <is>
          <t>官网仅会议宣传页，/authors为404，无CFP可读</t>
        </is>
      </c>
    </row>
    <row r="199" ht="30" customHeight="1">
      <c r="A199" s="8" t="n">
        <v>198</v>
      </c>
      <c r="B199" s="9" t="inlineStr">
        <is>
          <t>NOMS</t>
        </is>
      </c>
      <c r="C199" s="8" t="inlineStr">
        <is>
          <t>N</t>
        </is>
      </c>
      <c r="D199" s="12" t="inlineStr">
        <is>
          <t>网络与信息安全</t>
        </is>
      </c>
      <c r="E199" s="8" t="inlineStr">
        <is>
          <t>有专属条款</t>
        </is>
      </c>
      <c r="F199" s="8" t="inlineStr">
        <is>
          <t>只有利好通道</t>
        </is>
      </c>
      <c r="G199" s="10" t="inlineStr">
        <is>
          <t>不限</t>
        </is>
      </c>
      <c r="H199" s="10" t="inlineStr">
        <is>
          <t>无审稿义务</t>
        </is>
      </c>
      <c r="I199" s="8" t="inlineStr">
        <is>
          <t>无</t>
        </is>
      </c>
      <c r="J199" s="8" t="inlineStr">
        <is>
          <t>不强制</t>
        </is>
      </c>
      <c r="K199" s="10" t="inlineStr">
        <is>
          <t>无门槛</t>
        </is>
      </c>
      <c r="L199" s="10" t="inlineStr">
        <is>
          <t>Dissertation Session</t>
        </is>
      </c>
      <c r="M199" s="10" t="inlineStr">
        <is>
          <t>未提及</t>
        </is>
      </c>
      <c r="N199" s="10" t="inlineStr">
        <is>
          <t>https://noms2027.ieee-noms.org/authors/call-technical-session-paper</t>
        </is>
      </c>
      <c r="O199" s="8" t="inlineStr">
        <is>
          <t>中</t>
        </is>
      </c>
      <c r="P199" s="10" t="inlineStr">
        <is>
          <t>仅从日程构成见 dissertation sessions，细则未见</t>
        </is>
      </c>
    </row>
    <row r="200" ht="30" customHeight="1">
      <c r="A200" s="8" t="n">
        <v>199</v>
      </c>
      <c r="B200" s="9" t="inlineStr">
        <is>
          <t>SAIS</t>
        </is>
      </c>
      <c r="C200" s="8" t="inlineStr">
        <is>
          <t>N</t>
        </is>
      </c>
      <c r="D200" s="12" t="inlineStr">
        <is>
          <t>网络与信息安全</t>
        </is>
      </c>
      <c r="E200" s="8" t="inlineStr">
        <is>
          <t>有专属条款</t>
        </is>
      </c>
      <c r="F200" s="8" t="inlineStr">
        <is>
          <t>有硬性要求</t>
        </is>
      </c>
      <c r="G200" s="10" t="inlineStr">
        <is>
          <t>不限</t>
        </is>
      </c>
      <c r="H200" s="10" t="inlineStr">
        <is>
          <t>无审稿义务</t>
        </is>
      </c>
      <c r="I200" s="8" t="inlineStr">
        <is>
          <t>无</t>
        </is>
      </c>
      <c r="J200" s="8" t="inlineStr">
        <is>
          <t>不强制</t>
        </is>
      </c>
      <c r="K200" s="10" t="inlineStr">
        <is>
          <t>全体作者须建 HotCRP 档并填 ORCID</t>
        </is>
      </c>
      <c r="L200" s="10" t="inlineStr">
        <is>
          <t>无</t>
        </is>
      </c>
      <c r="M200" s="10" t="inlineStr">
        <is>
          <t>至少一位作者须全价注册，不适用学生价</t>
        </is>
      </c>
      <c r="N200" s="10" t="inlineStr">
        <is>
          <t>https://www.usenix.org/conference/sais27/call-for-papers</t>
        </is>
      </c>
      <c r="O200" s="8" t="inlineStr">
        <is>
          <t>高</t>
        </is>
      </c>
      <c r="P200" s="10" t="inlineStr">
        <is>
          <t>未按期完成账号与条款确认将直接 desk reject</t>
        </is>
      </c>
    </row>
    <row r="201" ht="30" customHeight="1">
      <c r="A201" s="8" t="n">
        <v>200</v>
      </c>
      <c r="B201" s="9" t="inlineStr">
        <is>
          <t>SATML</t>
        </is>
      </c>
      <c r="C201" s="8" t="inlineStr">
        <is>
          <t>N</t>
        </is>
      </c>
      <c r="D201" s="12" t="inlineStr">
        <is>
          <t>网络与信息安全</t>
        </is>
      </c>
      <c r="E201" s="8" t="inlineStr">
        <is>
          <t>有专属条款</t>
        </is>
      </c>
      <c r="F201" s="8" t="inlineStr">
        <is>
          <t>有硬性要求</t>
        </is>
      </c>
      <c r="G201" s="10" t="inlineStr">
        <is>
          <t>不限</t>
        </is>
      </c>
      <c r="H201" s="10" t="inlineStr">
        <is>
          <t>每篇须提名一名作者审稿，缺失可致拒稿</t>
        </is>
      </c>
      <c r="I201" s="8" t="inlineStr">
        <is>
          <t>无</t>
        </is>
      </c>
      <c r="J201" s="8" t="inlineStr">
        <is>
          <t>不强制</t>
        </is>
      </c>
      <c r="K201" s="10" t="inlineStr">
        <is>
          <t>全体作者须在 HotCRP 填 ORCID 并做作者认证</t>
        </is>
      </c>
      <c r="L201" s="10" t="inlineStr">
        <is>
          <t>无</t>
        </is>
      </c>
      <c r="M201" s="10" t="inlineStr">
        <is>
          <t>未提及</t>
        </is>
      </c>
      <c r="N201" s="10" t="inlineStr">
        <is>
          <t>https://satml.org/call-for-papers</t>
        </is>
      </c>
      <c r="O201" s="8" t="inlineStr">
        <is>
          <t>高</t>
        </is>
      </c>
      <c r="P201" s="10" t="inlineStr">
        <is>
          <t>提名不可更改，审稿量按投稿数累加</t>
        </is>
      </c>
    </row>
  </sheetData>
  <autoFilter ref="A1:P201"/>
  <conditionalFormatting sqref="E2:E201">
    <cfRule type="cellIs" priority="1" operator="equal" dxfId="7">
      <formula>"有专属条款"</formula>
    </cfRule>
    <cfRule type="cellIs" priority="2" operator="equal" dxfId="8">
      <formula>"无专属条款"</formula>
    </cfRule>
    <cfRule type="cellIs" priority="3" operator="equal" dxfId="9">
      <formula>"CFP未发布"</formula>
    </cfRule>
    <cfRule type="cellIs" priority="4" operator="equal" dxfId="10">
      <formula>"未找到"</formula>
    </cfRule>
  </conditionalFormatting>
  <conditionalFormatting sqref="F2:F201">
    <cfRule type="cellIs" priority="5" operator="equal" dxfId="3">
      <formula>"有硬性要求"</formula>
    </cfRule>
    <cfRule type="cellIs" priority="6" operator="equal" dxfId="11">
      <formula>"只有利好通道"</formula>
    </cfRule>
    <cfRule type="cellIs" priority="7" operator="equal" dxfId="12">
      <formula>"仅奖项"</formula>
    </cfRule>
    <cfRule type="cellIs" priority="8" operator="equal" dxfId="8">
      <formula>"无"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5" customWidth="1" min="3" max="3"/>
    <col width="8" customWidth="1" min="4" max="4"/>
    <col width="10" customWidth="1" min="5" max="5"/>
    <col width="20" customWidth="1" min="6" max="6"/>
    <col width="12" customWidth="1" min="7" max="7"/>
    <col width="40" customWidth="1" min="8" max="8"/>
    <col width="13" customWidth="1" min="9" max="9"/>
    <col width="36" customWidth="1" min="10" max="10"/>
  </cols>
  <sheetData>
    <row r="1" ht="36" customHeight="1">
      <c r="A1" s="1" t="inlineStr">
        <is>
          <t>序号</t>
        </is>
      </c>
      <c r="B1" s="1" t="inlineStr">
        <is>
          <t>简称</t>
        </is>
      </c>
      <c r="C1" s="1" t="inlineStr">
        <is>
          <t>CCF</t>
        </is>
      </c>
      <c r="D1" s="1" t="inlineStr">
        <is>
          <t>状态</t>
        </is>
      </c>
      <c r="E1" s="1" t="inlineStr">
        <is>
          <t>剩余天数
(生成时)</t>
        </is>
      </c>
      <c r="F1" s="1" t="inlineStr">
        <is>
          <t>缺什么</t>
        </is>
      </c>
      <c r="G1" s="1" t="inlineStr">
        <is>
          <t>缺口类型</t>
        </is>
      </c>
      <c r="H1" s="1" t="inlineStr">
        <is>
          <t>下一步</t>
        </is>
      </c>
      <c r="I1" s="1" t="inlineStr">
        <is>
          <t>官网核查</t>
        </is>
      </c>
      <c r="J1" s="1" t="inlineStr">
        <is>
          <t>官网</t>
        </is>
      </c>
    </row>
    <row r="2" ht="24" customHeight="1">
      <c r="A2" s="8" t="n">
        <v>129</v>
      </c>
      <c r="B2" s="9" t="inlineStr">
        <is>
          <t>CVM</t>
        </is>
      </c>
      <c r="C2" s="8" t="inlineStr">
        <is>
          <t>C</t>
        </is>
      </c>
      <c r="D2" s="8" t="inlineStr">
        <is>
          <t>未截止</t>
        </is>
      </c>
      <c r="E2" s="8" t="n">
        <v>2</v>
      </c>
      <c r="F2" s="10" t="inlineStr">
        <is>
          <t>是否到场、新人条款</t>
        </is>
      </c>
      <c r="G2" s="8" t="inlineStr">
        <is>
          <t>官网未写明</t>
        </is>
      </c>
      <c r="H2" s="10" t="inlineStr">
        <is>
          <t>查 Registration / Attending / FAQ / Reviewing 子页</t>
        </is>
      </c>
      <c r="I2" s="8" t="inlineStr">
        <is>
          <t>已核实</t>
        </is>
      </c>
      <c r="J2" s="12" t="inlineStr">
        <is>
          <t>http://iccvm.org/2027/</t>
        </is>
      </c>
    </row>
    <row r="3" ht="24" customHeight="1">
      <c r="A3" s="8" t="n">
        <v>83</v>
      </c>
      <c r="B3" s="9" t="inlineStr">
        <is>
          <t>ISCAS</t>
        </is>
      </c>
      <c r="C3" s="8" t="inlineStr">
        <is>
          <t>B</t>
        </is>
      </c>
      <c r="D3" s="8" t="inlineStr">
        <is>
          <t>未截止</t>
        </is>
      </c>
      <c r="E3" s="8" t="n">
        <v>2</v>
      </c>
      <c r="F3" s="10" t="inlineStr">
        <is>
          <t>是否到场、新人条款</t>
        </is>
      </c>
      <c r="G3" s="8" t="inlineStr">
        <is>
          <t>等官方发布</t>
        </is>
      </c>
      <c r="H3" s="10" t="inlineStr">
        <is>
          <t>2027 CFP 未出，发布后重查；不要沿用上届</t>
        </is>
      </c>
      <c r="I3" s="8" t="inlineStr">
        <is>
          <t>2027CFP未发布</t>
        </is>
      </c>
      <c r="J3" s="12" t="inlineStr">
        <is>
          <t>https://2027.ieee-iscas.org/</t>
        </is>
      </c>
    </row>
    <row r="4" ht="24" customHeight="1">
      <c r="A4" s="8" t="n">
        <v>194</v>
      </c>
      <c r="B4" s="9" t="inlineStr">
        <is>
          <t>MLSys</t>
        </is>
      </c>
      <c r="C4" s="8" t="inlineStr">
        <is>
          <t>N</t>
        </is>
      </c>
      <c r="D4" s="8" t="inlineStr">
        <is>
          <t>未截止</t>
        </is>
      </c>
      <c r="E4" s="8" t="n">
        <v>5</v>
      </c>
      <c r="F4" s="10" t="inlineStr">
        <is>
          <t>是否到场</t>
        </is>
      </c>
      <c r="G4" s="8" t="inlineStr">
        <is>
          <t>官网未写明</t>
        </is>
      </c>
      <c r="H4" s="10" t="inlineStr">
        <is>
          <t>查 Registration / Attending / FAQ / Reviewing 子页</t>
        </is>
      </c>
      <c r="I4" s="8" t="inlineStr">
        <is>
          <t>已核实</t>
        </is>
      </c>
      <c r="J4" s="12" t="inlineStr">
        <is>
          <t>https://mlsys.org/</t>
        </is>
      </c>
    </row>
    <row r="5" ht="24" customHeight="1">
      <c r="A5" s="8" t="n">
        <v>166</v>
      </c>
      <c r="B5" s="9" t="inlineStr">
        <is>
          <t>SACMAT</t>
        </is>
      </c>
      <c r="C5" s="8" t="inlineStr">
        <is>
          <t>C</t>
        </is>
      </c>
      <c r="D5" s="8" t="inlineStr">
        <is>
          <t>未截止</t>
        </is>
      </c>
      <c r="E5" s="8" t="n">
        <v>6</v>
      </c>
      <c r="F5" s="10" t="inlineStr">
        <is>
          <t>新人条款</t>
        </is>
      </c>
      <c r="G5" s="8" t="inlineStr">
        <is>
          <t>等官方发布</t>
        </is>
      </c>
      <c r="H5" s="10" t="inlineStr">
        <is>
          <t>2027 CFP 未出，发布后重查；不要沿用上届</t>
        </is>
      </c>
      <c r="I5" s="8" t="inlineStr">
        <is>
          <t>2027CFP未发布</t>
        </is>
      </c>
      <c r="J5" s="12" t="inlineStr">
        <is>
          <t>https://www.sacmat.org/2027/</t>
        </is>
      </c>
    </row>
    <row r="6" ht="24" customHeight="1">
      <c r="A6" s="8" t="n">
        <v>143</v>
      </c>
      <c r="B6" s="9" t="inlineStr">
        <is>
          <t>CSCWD</t>
        </is>
      </c>
      <c r="C6" s="8" t="inlineStr">
        <is>
          <t>C</t>
        </is>
      </c>
      <c r="D6" s="8" t="inlineStr">
        <is>
          <t>未截止</t>
        </is>
      </c>
      <c r="E6" s="8" t="n">
        <v>7</v>
      </c>
      <c r="F6" s="10" t="inlineStr">
        <is>
          <t>是否到场、新人条款</t>
        </is>
      </c>
      <c r="G6" s="8" t="inlineStr">
        <is>
          <t>官网未查到</t>
        </is>
      </c>
      <c r="H6" s="10" t="inlineStr">
        <is>
          <t>换入口重查（官网 / dblp / 主办方页面）</t>
        </is>
      </c>
      <c r="I6" s="8" t="inlineStr">
        <is>
          <t>官网不可达</t>
        </is>
      </c>
      <c r="J6" s="12" t="inlineStr">
        <is>
          <t>http://2027.cscwd.org</t>
        </is>
      </c>
    </row>
    <row r="7" ht="24" customHeight="1">
      <c r="A7" s="8" t="n">
        <v>95</v>
      </c>
      <c r="B7" s="9" t="inlineStr">
        <is>
          <t>RECOMB</t>
        </is>
      </c>
      <c r="C7" s="8" t="inlineStr">
        <is>
          <t>B</t>
        </is>
      </c>
      <c r="D7" s="8" t="inlineStr">
        <is>
          <t>未截止</t>
        </is>
      </c>
      <c r="E7" s="8" t="n">
        <v>11</v>
      </c>
      <c r="F7" s="10" t="inlineStr">
        <is>
          <t>是否到场、新人条款</t>
        </is>
      </c>
      <c r="G7" s="8" t="inlineStr">
        <is>
          <t>等官方发布</t>
        </is>
      </c>
      <c r="H7" s="10" t="inlineStr">
        <is>
          <t>2027 CFP 未出，发布后重查；不要沿用上届</t>
        </is>
      </c>
      <c r="I7" s="8" t="inlineStr">
        <is>
          <t>2027CFP未发布</t>
        </is>
      </c>
      <c r="J7" s="12" t="inlineStr">
        <is>
          <t>https://recomb.org/recomb2027/</t>
        </is>
      </c>
    </row>
    <row r="8" ht="24" customHeight="1">
      <c r="A8" s="8" t="n">
        <v>64</v>
      </c>
      <c r="B8" s="9" t="inlineStr">
        <is>
          <t>HSCC</t>
        </is>
      </c>
      <c r="C8" s="8" t="inlineStr">
        <is>
          <t>B</t>
        </is>
      </c>
      <c r="D8" s="8" t="inlineStr">
        <is>
          <t>未截止</t>
        </is>
      </c>
      <c r="E8" s="8" t="n">
        <v>12</v>
      </c>
      <c r="F8" s="10" t="inlineStr">
        <is>
          <t>是否到场、新人条款</t>
        </is>
      </c>
      <c r="G8" s="8" t="inlineStr">
        <is>
          <t>官网未写明</t>
        </is>
      </c>
      <c r="H8" s="10" t="inlineStr">
        <is>
          <t>查 Registration / Attending / FAQ / Reviewing 子页</t>
        </is>
      </c>
      <c r="I8" s="8" t="inlineStr">
        <is>
          <t>已核实</t>
        </is>
      </c>
      <c r="J8" s="12" t="inlineStr">
        <is>
          <t>https://hscc.acm.org/2027/</t>
        </is>
      </c>
    </row>
    <row r="9" ht="24" customHeight="1">
      <c r="A9" s="8" t="n">
        <v>198</v>
      </c>
      <c r="B9" s="9" t="inlineStr">
        <is>
          <t>NOMS</t>
        </is>
      </c>
      <c r="C9" s="8" t="inlineStr">
        <is>
          <t>N</t>
        </is>
      </c>
      <c r="D9" s="8" t="inlineStr">
        <is>
          <t>未截止</t>
        </is>
      </c>
      <c r="E9" s="8" t="n">
        <v>16</v>
      </c>
      <c r="F9" s="10" t="inlineStr">
        <is>
          <t>是否到场</t>
        </is>
      </c>
      <c r="G9" s="8" t="inlineStr">
        <is>
          <t>官网未写明</t>
        </is>
      </c>
      <c r="H9" s="10" t="inlineStr">
        <is>
          <t>查 Registration / Attending / FAQ / Reviewing 子页</t>
        </is>
      </c>
      <c r="I9" s="8" t="inlineStr">
        <is>
          <t>已核实</t>
        </is>
      </c>
      <c r="J9" s="12" t="inlineStr">
        <is>
          <t>https://noms2027.ieee-noms.org/</t>
        </is>
      </c>
    </row>
    <row r="10" ht="24" customHeight="1">
      <c r="A10" s="8" t="n">
        <v>133</v>
      </c>
      <c r="B10" s="9" t="inlineStr">
        <is>
          <t>PacificVis</t>
        </is>
      </c>
      <c r="C10" s="8" t="inlineStr">
        <is>
          <t>C</t>
        </is>
      </c>
      <c r="D10" s="8" t="inlineStr">
        <is>
          <t>未截止</t>
        </is>
      </c>
      <c r="E10" s="8" t="n">
        <v>16</v>
      </c>
      <c r="F10" s="10" t="inlineStr">
        <is>
          <t>新人条款</t>
        </is>
      </c>
      <c r="G10" s="8" t="inlineStr">
        <is>
          <t>官网未查到</t>
        </is>
      </c>
      <c r="H10" s="10" t="inlineStr">
        <is>
          <t>换入口重查（官网 / dblp / 主办方页面）</t>
        </is>
      </c>
      <c r="I10" s="8" t="inlineStr">
        <is>
          <t>未找到</t>
        </is>
      </c>
      <c r="J10" s="12" t="inlineStr">
        <is>
          <t>https://pacificvis2027.github.io/</t>
        </is>
      </c>
    </row>
    <row r="11" ht="24" customHeight="1">
      <c r="A11" s="8" t="n">
        <v>107</v>
      </c>
      <c r="B11" s="9" t="inlineStr">
        <is>
          <t>CAiSE</t>
        </is>
      </c>
      <c r="C11" s="8" t="inlineStr">
        <is>
          <t>B</t>
        </is>
      </c>
      <c r="D11" s="8" t="inlineStr">
        <is>
          <t>未截止</t>
        </is>
      </c>
      <c r="E11" s="8" t="n">
        <v>22</v>
      </c>
      <c r="F11" s="10" t="inlineStr">
        <is>
          <t>是否到场、新人条款</t>
        </is>
      </c>
      <c r="G11" s="8" t="inlineStr">
        <is>
          <t>官网未写明</t>
        </is>
      </c>
      <c r="H11" s="10" t="inlineStr">
        <is>
          <t>查 Registration / Attending / FAQ / Reviewing 子页</t>
        </is>
      </c>
      <c r="I11" s="8" t="inlineStr">
        <is>
          <t>已核实</t>
        </is>
      </c>
      <c r="J11" s="12" t="inlineStr">
        <is>
          <t>https://deal.us.es/caise27/</t>
        </is>
      </c>
    </row>
    <row r="12" ht="24" customHeight="1">
      <c r="A12" s="8" t="n">
        <v>108</v>
      </c>
      <c r="B12" s="9" t="inlineStr">
        <is>
          <t>ECOOP</t>
        </is>
      </c>
      <c r="C12" s="8" t="inlineStr">
        <is>
          <t>B</t>
        </is>
      </c>
      <c r="D12" s="8" t="inlineStr">
        <is>
          <t>未截止</t>
        </is>
      </c>
      <c r="E12" s="8" t="n">
        <v>26</v>
      </c>
      <c r="F12" s="10" t="inlineStr">
        <is>
          <t>是否到场</t>
        </is>
      </c>
      <c r="G12" s="8" t="inlineStr">
        <is>
          <t>官网未写明</t>
        </is>
      </c>
      <c r="H12" s="10" t="inlineStr">
        <is>
          <t>查 Registration / Attending / FAQ / Reviewing 子页</t>
        </is>
      </c>
      <c r="I12" s="8" t="inlineStr">
        <is>
          <t>已核实</t>
        </is>
      </c>
      <c r="J12" s="12" t="inlineStr">
        <is>
          <t>https://2027.ecoop.org/</t>
        </is>
      </c>
    </row>
    <row r="13" ht="24" customHeight="1">
      <c r="A13" s="8" t="n">
        <v>197</v>
      </c>
      <c r="B13" s="9" t="inlineStr">
        <is>
          <t>MMSys</t>
        </is>
      </c>
      <c r="C13" s="8" t="inlineStr">
        <is>
          <t>N</t>
        </is>
      </c>
      <c r="D13" s="8" t="inlineStr">
        <is>
          <t>未截止</t>
        </is>
      </c>
      <c r="E13" s="8" t="n">
        <v>26</v>
      </c>
      <c r="F13" s="10" t="inlineStr">
        <is>
          <t>是否到场、新人条款</t>
        </is>
      </c>
      <c r="G13" s="8" t="inlineStr">
        <is>
          <t>官网未写明</t>
        </is>
      </c>
      <c r="H13" s="10" t="inlineStr">
        <is>
          <t>查 Registration / Attending / FAQ / Reviewing 子页</t>
        </is>
      </c>
      <c r="I13" s="8" t="inlineStr">
        <is>
          <t>已核实</t>
        </is>
      </c>
      <c r="J13" s="12" t="inlineStr">
        <is>
          <t>https://2027.acmmmsys.org</t>
        </is>
      </c>
    </row>
    <row r="14" ht="24" customHeight="1">
      <c r="A14" s="8" t="n">
        <v>138</v>
      </c>
      <c r="B14" s="9" t="inlineStr">
        <is>
          <t>PAKDD</t>
        </is>
      </c>
      <c r="C14" s="8" t="inlineStr">
        <is>
          <t>C</t>
        </is>
      </c>
      <c r="D14" s="8" t="inlineStr">
        <is>
          <t>未截止</t>
        </is>
      </c>
      <c r="E14" s="8" t="n">
        <v>27</v>
      </c>
      <c r="F14" s="10" t="inlineStr">
        <is>
          <t>是否到场、新人条款</t>
        </is>
      </c>
      <c r="G14" s="8" t="inlineStr">
        <is>
          <t>等官方发布</t>
        </is>
      </c>
      <c r="H14" s="10" t="inlineStr">
        <is>
          <t>2027 CFP 未出，发布后重查；不要沿用上届</t>
        </is>
      </c>
      <c r="I14" s="8" t="inlineStr">
        <is>
          <t>2027CFP未发布</t>
        </is>
      </c>
      <c r="J14" s="12" t="inlineStr">
        <is>
          <t>https://www.pakdd2027.org/</t>
        </is>
      </c>
    </row>
    <row r="15" ht="24" customHeight="1">
      <c r="A15" s="8" t="n">
        <v>68</v>
      </c>
      <c r="B15" s="9" t="inlineStr">
        <is>
          <t>DASFAA</t>
        </is>
      </c>
      <c r="C15" s="8" t="inlineStr">
        <is>
          <t>B</t>
        </is>
      </c>
      <c r="D15" s="8" t="inlineStr">
        <is>
          <t>未截止</t>
        </is>
      </c>
      <c r="E15" s="8" t="n">
        <v>32</v>
      </c>
      <c r="F15" s="10" t="inlineStr">
        <is>
          <t>是否到场</t>
        </is>
      </c>
      <c r="G15" s="8" t="inlineStr">
        <is>
          <t>官网未写明</t>
        </is>
      </c>
      <c r="H15" s="10" t="inlineStr">
        <is>
          <t>查 Registration / Attending / FAQ / Reviewing 子页</t>
        </is>
      </c>
      <c r="I15" s="8" t="inlineStr">
        <is>
          <t>已核实</t>
        </is>
      </c>
      <c r="J15" s="12" t="inlineStr">
        <is>
          <t>https://dasfaa2027.github.io/</t>
        </is>
      </c>
    </row>
    <row r="16" ht="24" customHeight="1">
      <c r="A16" s="8" t="n">
        <v>100</v>
      </c>
      <c r="B16" s="9" t="inlineStr">
        <is>
          <t>SECON</t>
        </is>
      </c>
      <c r="C16" s="8" t="inlineStr">
        <is>
          <t>B</t>
        </is>
      </c>
      <c r="D16" s="8" t="inlineStr">
        <is>
          <t>未截止</t>
        </is>
      </c>
      <c r="E16" s="8" t="n">
        <v>37</v>
      </c>
      <c r="F16" s="10" t="inlineStr">
        <is>
          <t>新人条款</t>
        </is>
      </c>
      <c r="G16" s="8" t="inlineStr">
        <is>
          <t>官网未写明</t>
        </is>
      </c>
      <c r="H16" s="10" t="inlineStr">
        <is>
          <t>查 Registration / Attending / FAQ / Reviewing 子页</t>
        </is>
      </c>
      <c r="I16" s="8" t="inlineStr">
        <is>
          <t>已核实</t>
        </is>
      </c>
      <c r="J16" s="12" t="inlineStr">
        <is>
          <t>https://secon2027.ieee-secon.org/</t>
        </is>
      </c>
    </row>
    <row r="17" ht="24" customHeight="1">
      <c r="A17" s="8" t="n">
        <v>157</v>
      </c>
      <c r="B17" s="9" t="inlineStr">
        <is>
          <t>BlockSys</t>
        </is>
      </c>
      <c r="C17" s="8" t="inlineStr">
        <is>
          <t>C</t>
        </is>
      </c>
      <c r="D17" s="8" t="inlineStr">
        <is>
          <t>未截止</t>
        </is>
      </c>
      <c r="E17" s="8" t="n">
        <v>37</v>
      </c>
      <c r="F17" s="10" t="inlineStr">
        <is>
          <t>是否到场</t>
        </is>
      </c>
      <c r="G17" s="8" t="inlineStr">
        <is>
          <t>官网未写明</t>
        </is>
      </c>
      <c r="H17" s="10" t="inlineStr">
        <is>
          <t>查 Registration / Attending / FAQ / Reviewing 子页</t>
        </is>
      </c>
      <c r="I17" s="8" t="inlineStr">
        <is>
          <t>已核实</t>
        </is>
      </c>
      <c r="J17" s="12" t="inlineStr">
        <is>
          <t>https://blocksys.info/2027/</t>
        </is>
      </c>
    </row>
    <row r="18" ht="24" customHeight="1">
      <c r="A18" s="8" t="n">
        <v>140</v>
      </c>
      <c r="B18" s="9" t="inlineStr">
        <is>
          <t>CCGRID</t>
        </is>
      </c>
      <c r="C18" s="8" t="inlineStr">
        <is>
          <t>C</t>
        </is>
      </c>
      <c r="D18" s="8" t="inlineStr">
        <is>
          <t>未截止</t>
        </is>
      </c>
      <c r="E18" s="8" t="n">
        <v>38</v>
      </c>
      <c r="F18" s="10" t="inlineStr">
        <is>
          <t>是否到场</t>
        </is>
      </c>
      <c r="G18" s="8" t="inlineStr">
        <is>
          <t>官网未写明</t>
        </is>
      </c>
      <c r="H18" s="10" t="inlineStr">
        <is>
          <t>查 Registration / Attending / FAQ / Reviewing 子页</t>
        </is>
      </c>
      <c r="I18" s="8" t="inlineStr">
        <is>
          <t>已核实</t>
        </is>
      </c>
      <c r="J18" s="12" t="inlineStr">
        <is>
          <t>https://hpcclab.org/ccgrid27/</t>
        </is>
      </c>
    </row>
    <row r="19" ht="24" customHeight="1">
      <c r="A19" s="8" t="n">
        <v>195</v>
      </c>
      <c r="B19" s="9" t="inlineStr">
        <is>
          <t>SAI</t>
        </is>
      </c>
      <c r="C19" s="8" t="inlineStr">
        <is>
          <t>N</t>
        </is>
      </c>
      <c r="D19" s="8" t="inlineStr">
        <is>
          <t>未截止</t>
        </is>
      </c>
      <c r="E19" s="8" t="n">
        <v>38</v>
      </c>
      <c r="F19" s="10" t="inlineStr">
        <is>
          <t>是否到场</t>
        </is>
      </c>
      <c r="G19" s="8" t="inlineStr">
        <is>
          <t>官网未查到</t>
        </is>
      </c>
      <c r="H19" s="10" t="inlineStr">
        <is>
          <t>换入口重查（官网 / dblp / 主办方页面）</t>
        </is>
      </c>
      <c r="I19" s="8" t="inlineStr">
        <is>
          <t>未找到</t>
        </is>
      </c>
      <c r="J19" s="12" t="inlineStr">
        <is>
          <t>https://saiconference.com/Computing</t>
        </is>
      </c>
    </row>
    <row r="20" ht="24" customHeight="1">
      <c r="A20" s="8" t="n">
        <v>104</v>
      </c>
      <c r="B20" s="9" t="inlineStr">
        <is>
          <t>DSN</t>
        </is>
      </c>
      <c r="C20" s="8" t="inlineStr">
        <is>
          <t>B</t>
        </is>
      </c>
      <c r="D20" s="8" t="inlineStr">
        <is>
          <t>未截止</t>
        </is>
      </c>
      <c r="E20" s="8" t="n">
        <v>39</v>
      </c>
      <c r="F20" s="10" t="inlineStr">
        <is>
          <t>是否到场</t>
        </is>
      </c>
      <c r="G20" s="8" t="inlineStr">
        <is>
          <t>官网未写明</t>
        </is>
      </c>
      <c r="H20" s="10" t="inlineStr">
        <is>
          <t>查 Registration / Attending / FAQ / Reviewing 子页</t>
        </is>
      </c>
      <c r="I20" s="8" t="inlineStr">
        <is>
          <t>已核实</t>
        </is>
      </c>
      <c r="J20" s="12" t="inlineStr">
        <is>
          <t>https://dsn2027-berlin.github.io/</t>
        </is>
      </c>
    </row>
    <row r="21" ht="24" customHeight="1">
      <c r="A21" s="8" t="n">
        <v>176</v>
      </c>
      <c r="B21" s="9" t="inlineStr">
        <is>
          <t>CPAL</t>
        </is>
      </c>
      <c r="C21" s="8" t="inlineStr">
        <is>
          <t>N</t>
        </is>
      </c>
      <c r="D21" s="8" t="inlineStr">
        <is>
          <t>未截止</t>
        </is>
      </c>
      <c r="E21" s="8" t="n">
        <v>42</v>
      </c>
      <c r="F21" s="10" t="inlineStr">
        <is>
          <t>是否到场</t>
        </is>
      </c>
      <c r="G21" s="8" t="inlineStr">
        <is>
          <t>官网未写明</t>
        </is>
      </c>
      <c r="H21" s="10" t="inlineStr">
        <is>
          <t>查 Registration / Attending / FAQ / Reviewing 子页</t>
        </is>
      </c>
      <c r="I21" s="8" t="inlineStr">
        <is>
          <t>已核实</t>
        </is>
      </c>
      <c r="J21" s="12" t="inlineStr">
        <is>
          <t>https://cpal.cc/</t>
        </is>
      </c>
    </row>
    <row r="22" ht="24" customHeight="1">
      <c r="A22" s="8" t="n">
        <v>80</v>
      </c>
      <c r="B22" s="9" t="inlineStr">
        <is>
          <t>ICS</t>
        </is>
      </c>
      <c r="C22" s="8" t="inlineStr">
        <is>
          <t>B</t>
        </is>
      </c>
      <c r="D22" s="8" t="inlineStr">
        <is>
          <t>未截止</t>
        </is>
      </c>
      <c r="E22" s="8" t="n">
        <v>44</v>
      </c>
      <c r="F22" s="10" t="inlineStr">
        <is>
          <t>是否到场</t>
        </is>
      </c>
      <c r="G22" s="8" t="inlineStr">
        <is>
          <t>官网未写明</t>
        </is>
      </c>
      <c r="H22" s="10" t="inlineStr">
        <is>
          <t>查 Registration / Attending / FAQ / Reviewing 子页</t>
        </is>
      </c>
      <c r="I22" s="8" t="inlineStr">
        <is>
          <t>已核实</t>
        </is>
      </c>
      <c r="J22" s="12" t="inlineStr">
        <is>
          <t>https://ics-conference.org/index.html</t>
        </is>
      </c>
    </row>
    <row r="23" ht="24" customHeight="1">
      <c r="A23" s="8" t="n">
        <v>73</v>
      </c>
      <c r="B23" s="9" t="inlineStr">
        <is>
          <t>PODS</t>
        </is>
      </c>
      <c r="C23" s="8" t="inlineStr">
        <is>
          <t>B</t>
        </is>
      </c>
      <c r="D23" s="8" t="inlineStr">
        <is>
          <t>未截止</t>
        </is>
      </c>
      <c r="E23" s="8" t="n">
        <v>47</v>
      </c>
      <c r="F23" s="10" t="inlineStr">
        <is>
          <t>是否到场、新人条款</t>
        </is>
      </c>
      <c r="G23" s="8" t="inlineStr">
        <is>
          <t>官网未写明</t>
        </is>
      </c>
      <c r="H23" s="10" t="inlineStr">
        <is>
          <t>查 Registration / Attending / FAQ / Reviewing 子页</t>
        </is>
      </c>
      <c r="I23" s="8" t="inlineStr">
        <is>
          <t>已核实</t>
        </is>
      </c>
      <c r="J23" s="12" t="inlineStr">
        <is>
          <t>https://2027.sigmod.org/</t>
        </is>
      </c>
    </row>
    <row r="24" ht="24" customHeight="1">
      <c r="A24" s="8" t="n">
        <v>48</v>
      </c>
      <c r="B24" s="9" t="inlineStr">
        <is>
          <t>ICAPS</t>
        </is>
      </c>
      <c r="C24" s="8" t="inlineStr">
        <is>
          <t>B</t>
        </is>
      </c>
      <c r="D24" s="8" t="inlineStr">
        <is>
          <t>未截止</t>
        </is>
      </c>
      <c r="E24" s="8" t="n">
        <v>51</v>
      </c>
      <c r="F24" s="10" t="inlineStr">
        <is>
          <t>是否到场、新人条款</t>
        </is>
      </c>
      <c r="G24" s="8" t="inlineStr">
        <is>
          <t>等官方发布</t>
        </is>
      </c>
      <c r="H24" s="10" t="inlineStr">
        <is>
          <t>2027 CFP 未出，发布后重查；不要沿用上届</t>
        </is>
      </c>
      <c r="I24" s="8" t="inlineStr">
        <is>
          <t>2027CFP未发布</t>
        </is>
      </c>
      <c r="J24" s="12" t="inlineStr">
        <is>
          <t>https://icaps27.icaps-conference.org/</t>
        </is>
      </c>
    </row>
    <row r="25" ht="24" customHeight="1">
      <c r="A25" s="8" t="n">
        <v>163</v>
      </c>
      <c r="B25" s="9" t="inlineStr">
        <is>
          <t>ICDF2C</t>
        </is>
      </c>
      <c r="C25" s="8" t="inlineStr">
        <is>
          <t>C</t>
        </is>
      </c>
      <c r="D25" s="8" t="inlineStr">
        <is>
          <t>未截止</t>
        </is>
      </c>
      <c r="E25" s="8" t="n">
        <v>52</v>
      </c>
      <c r="F25" s="10" t="inlineStr">
        <is>
          <t>是否到场</t>
        </is>
      </c>
      <c r="G25" s="8" t="inlineStr">
        <is>
          <t>官网未写明</t>
        </is>
      </c>
      <c r="H25" s="10" t="inlineStr">
        <is>
          <t>查 Registration / Attending / FAQ / Reviewing 子页</t>
        </is>
      </c>
      <c r="I25" s="8" t="inlineStr">
        <is>
          <t>已核实</t>
        </is>
      </c>
      <c r="J25" s="12" t="inlineStr">
        <is>
          <t>https://icdf2c.eai-conferences.org/2027/</t>
        </is>
      </c>
    </row>
    <row r="26" ht="24" customHeight="1">
      <c r="A26" s="8" t="n">
        <v>141</v>
      </c>
      <c r="B26" s="9" t="inlineStr">
        <is>
          <t>ETS</t>
        </is>
      </c>
      <c r="C26" s="8" t="inlineStr">
        <is>
          <t>C</t>
        </is>
      </c>
      <c r="D26" s="8" t="inlineStr">
        <is>
          <t>未截止</t>
        </is>
      </c>
      <c r="E26" s="8" t="n">
        <v>52</v>
      </c>
      <c r="F26" s="10" t="inlineStr">
        <is>
          <t>新人条款</t>
        </is>
      </c>
      <c r="G26" s="8" t="inlineStr">
        <is>
          <t>等官方发布</t>
        </is>
      </c>
      <c r="H26" s="10" t="inlineStr">
        <is>
          <t>2027 CFP 未出，发布后重查；不要沿用上届</t>
        </is>
      </c>
      <c r="I26" s="8" t="inlineStr">
        <is>
          <t>2027CFP未发布</t>
        </is>
      </c>
      <c r="J26" s="12" t="inlineStr">
        <is>
          <t>https://www.ets2027.co.uk/</t>
        </is>
      </c>
    </row>
    <row r="27" ht="24" customHeight="1">
      <c r="A27" s="8" t="n">
        <v>137</v>
      </c>
      <c r="B27" s="9" t="inlineStr">
        <is>
          <t>ESWC</t>
        </is>
      </c>
      <c r="C27" s="8" t="inlineStr">
        <is>
          <t>C</t>
        </is>
      </c>
      <c r="D27" s="8" t="inlineStr">
        <is>
          <t>未截止</t>
        </is>
      </c>
      <c r="E27" s="8" t="n">
        <v>54</v>
      </c>
      <c r="F27" s="10" t="inlineStr">
        <is>
          <t>是否到场、新人条款</t>
        </is>
      </c>
      <c r="G27" s="8" t="inlineStr">
        <is>
          <t>等官方发布</t>
        </is>
      </c>
      <c r="H27" s="10" t="inlineStr">
        <is>
          <t>2027 CFP 未出，发布后重查；不要沿用上届</t>
        </is>
      </c>
      <c r="I27" s="8" t="inlineStr">
        <is>
          <t>2027CFP未发布</t>
        </is>
      </c>
      <c r="J27" s="12" t="inlineStr">
        <is>
          <t>https://2027.eswc-conferences.org/</t>
        </is>
      </c>
    </row>
    <row r="28" ht="24" customHeight="1">
      <c r="A28" s="8" t="n">
        <v>130</v>
      </c>
      <c r="B28" s="9" t="inlineStr">
        <is>
          <t>GMP</t>
        </is>
      </c>
      <c r="C28" s="8" t="inlineStr">
        <is>
          <t>C</t>
        </is>
      </c>
      <c r="D28" s="8" t="inlineStr">
        <is>
          <t>未截止</t>
        </is>
      </c>
      <c r="E28" s="8" t="n">
        <v>58</v>
      </c>
      <c r="F28" s="10" t="inlineStr">
        <is>
          <t>是否到场、新人条款</t>
        </is>
      </c>
      <c r="G28" s="8" t="inlineStr">
        <is>
          <t>等官方发布</t>
        </is>
      </c>
      <c r="H28" s="10" t="inlineStr">
        <is>
          <t>2027 CFP 未出，发布后重查；不要沿用上届</t>
        </is>
      </c>
      <c r="I28" s="8" t="inlineStr">
        <is>
          <t>2027CFP未发布</t>
        </is>
      </c>
      <c r="J28" s="12" t="inlineStr">
        <is>
          <t>https://gmp-conference-2027.github.io/gmp2027/</t>
        </is>
      </c>
    </row>
    <row r="29" ht="24" customHeight="1">
      <c r="A29" s="8" t="n">
        <v>45</v>
      </c>
      <c r="B29" s="9" t="inlineStr">
        <is>
          <t>COLING</t>
        </is>
      </c>
      <c r="C29" s="8" t="inlineStr">
        <is>
          <t>B</t>
        </is>
      </c>
      <c r="D29" s="8" t="inlineStr">
        <is>
          <t>未截止</t>
        </is>
      </c>
      <c r="E29" s="8" t="n">
        <v>60</v>
      </c>
      <c r="F29" s="10" t="inlineStr">
        <is>
          <t>新人条款</t>
        </is>
      </c>
      <c r="G29" s="8" t="inlineStr">
        <is>
          <t>官网未写明</t>
        </is>
      </c>
      <c r="H29" s="10" t="inlineStr">
        <is>
          <t>查 Registration / Attending / FAQ / Reviewing 子页</t>
        </is>
      </c>
      <c r="I29" s="8" t="inlineStr">
        <is>
          <t>已核实</t>
        </is>
      </c>
      <c r="J29" s="12" t="inlineStr">
        <is>
          <t>https://2027.coling-iccl.org/</t>
        </is>
      </c>
    </row>
    <row r="30" ht="24" customHeight="1">
      <c r="A30" s="8" t="n">
        <v>52</v>
      </c>
      <c r="B30" s="9" t="inlineStr">
        <is>
          <t>NAACL</t>
        </is>
      </c>
      <c r="C30" s="8" t="inlineStr">
        <is>
          <t>B</t>
        </is>
      </c>
      <c r="D30" s="8" t="inlineStr">
        <is>
          <t>未截止</t>
        </is>
      </c>
      <c r="E30" s="8" t="n">
        <v>60</v>
      </c>
      <c r="F30" s="10" t="inlineStr">
        <is>
          <t>是否到场</t>
        </is>
      </c>
      <c r="G30" s="8" t="inlineStr">
        <is>
          <t>官网未写明</t>
        </is>
      </c>
      <c r="H30" s="10" t="inlineStr">
        <is>
          <t>查 Registration / Attending / FAQ / Reviewing 子页</t>
        </is>
      </c>
      <c r="I30" s="8" t="inlineStr">
        <is>
          <t>已核实</t>
        </is>
      </c>
      <c r="J30" s="12" t="inlineStr">
        <is>
          <t>https://2027.naacl.org/</t>
        </is>
      </c>
    </row>
    <row r="31" ht="24" customHeight="1">
      <c r="A31" s="8" t="n">
        <v>2</v>
      </c>
      <c r="B31" s="9" t="inlineStr">
        <is>
          <t>ACL</t>
        </is>
      </c>
      <c r="C31" s="8" t="inlineStr">
        <is>
          <t>A</t>
        </is>
      </c>
      <c r="D31" s="8" t="inlineStr">
        <is>
          <t>未截止</t>
        </is>
      </c>
      <c r="E31" s="8" t="n">
        <v>72</v>
      </c>
      <c r="F31" s="10" t="inlineStr">
        <is>
          <t>新人条款</t>
        </is>
      </c>
      <c r="G31" s="8" t="inlineStr">
        <is>
          <t>官网未写明</t>
        </is>
      </c>
      <c r="H31" s="10" t="inlineStr">
        <is>
          <t>查 Registration / Attending / FAQ / Reviewing 子页</t>
        </is>
      </c>
      <c r="I31" s="8" t="inlineStr">
        <is>
          <t>已核实</t>
        </is>
      </c>
      <c r="J31" s="12" t="inlineStr">
        <is>
          <t>https://2027.aclweb.org/</t>
        </is>
      </c>
    </row>
    <row r="32" ht="24" customHeight="1">
      <c r="A32" s="8" t="n">
        <v>39</v>
      </c>
      <c r="B32" s="9" t="inlineStr">
        <is>
          <t>ISSTA</t>
        </is>
      </c>
      <c r="C32" s="8" t="inlineStr">
        <is>
          <t>A</t>
        </is>
      </c>
      <c r="D32" s="8" t="inlineStr">
        <is>
          <t>未截止</t>
        </is>
      </c>
      <c r="E32" s="8" t="n">
        <v>79</v>
      </c>
      <c r="F32" s="10" t="inlineStr">
        <is>
          <t>新人条款</t>
        </is>
      </c>
      <c r="G32" s="8" t="inlineStr">
        <is>
          <t>官网未写明</t>
        </is>
      </c>
      <c r="H32" s="10" t="inlineStr">
        <is>
          <t>查 Registration / Attending / FAQ / Reviewing 子页</t>
        </is>
      </c>
      <c r="I32" s="8" t="inlineStr">
        <is>
          <t>已核实</t>
        </is>
      </c>
      <c r="J32" s="12" t="inlineStr">
        <is>
          <t>https://conf.researchr.org/home/issta-2027</t>
        </is>
      </c>
    </row>
    <row r="33" ht="24" customHeight="1">
      <c r="A33" s="8" t="n">
        <v>50</v>
      </c>
      <c r="B33" s="9" t="inlineStr">
        <is>
          <t>IJCAI</t>
        </is>
      </c>
      <c r="C33" s="8" t="inlineStr">
        <is>
          <t>B</t>
        </is>
      </c>
      <c r="D33" s="8" t="inlineStr">
        <is>
          <t>未截止</t>
        </is>
      </c>
      <c r="E33" s="8" t="n">
        <v>79</v>
      </c>
      <c r="F33" s="10" t="inlineStr">
        <is>
          <t>新人条款</t>
        </is>
      </c>
      <c r="G33" s="8" t="inlineStr">
        <is>
          <t>官网未写明</t>
        </is>
      </c>
      <c r="H33" s="10" t="inlineStr">
        <is>
          <t>查 Registration / Attending / FAQ / Reviewing 子页</t>
        </is>
      </c>
      <c r="I33" s="8" t="inlineStr">
        <is>
          <t>已核实</t>
        </is>
      </c>
      <c r="J33" s="12" t="inlineStr">
        <is>
          <t>https://2027.ijcai.org/</t>
        </is>
      </c>
    </row>
    <row r="34" ht="24" customHeight="1">
      <c r="A34" s="8" t="n">
        <v>99</v>
      </c>
      <c r="B34" s="9" t="inlineStr">
        <is>
          <t>NOSSDAV</t>
        </is>
      </c>
      <c r="C34" s="8" t="inlineStr">
        <is>
          <t>B</t>
        </is>
      </c>
      <c r="D34" s="8" t="inlineStr">
        <is>
          <t>未截止</t>
        </is>
      </c>
      <c r="E34" s="8" t="n">
        <v>79</v>
      </c>
      <c r="F34" s="10" t="inlineStr">
        <is>
          <t>是否到场</t>
        </is>
      </c>
      <c r="G34" s="8" t="inlineStr">
        <is>
          <t>官网未写明</t>
        </is>
      </c>
      <c r="H34" s="10" t="inlineStr">
        <is>
          <t>查 Registration / Attending / FAQ / Reviewing 子页</t>
        </is>
      </c>
      <c r="I34" s="8" t="inlineStr">
        <is>
          <t>已核实</t>
        </is>
      </c>
      <c r="J34" s="12" t="inlineStr">
        <is>
          <t>https://nossdav.org/</t>
        </is>
      </c>
    </row>
    <row r="35" ht="24" customHeight="1">
      <c r="A35" s="8" t="n">
        <v>93</v>
      </c>
      <c r="B35" s="9" t="inlineStr">
        <is>
          <t>ISMB</t>
        </is>
      </c>
      <c r="C35" s="8" t="inlineStr">
        <is>
          <t>B</t>
        </is>
      </c>
      <c r="D35" s="8" t="inlineStr">
        <is>
          <t>未截止</t>
        </is>
      </c>
      <c r="E35" s="8" t="n">
        <v>82</v>
      </c>
      <c r="F35" s="10" t="inlineStr">
        <is>
          <t>新人条款</t>
        </is>
      </c>
      <c r="G35" s="8" t="inlineStr">
        <is>
          <t>等官方发布</t>
        </is>
      </c>
      <c r="H35" s="10" t="inlineStr">
        <is>
          <t>2027 CFP 未出，发布后重查；不要沿用上届</t>
        </is>
      </c>
      <c r="I35" s="8" t="inlineStr">
        <is>
          <t>2027CFP未发布</t>
        </is>
      </c>
      <c r="J35" s="12" t="inlineStr">
        <is>
          <t>https://www.iscb.org/ismbeccb2027/</t>
        </is>
      </c>
    </row>
    <row r="36" ht="24" customHeight="1">
      <c r="A36" s="8" t="n">
        <v>89</v>
      </c>
      <c r="B36" s="9" t="inlineStr">
        <is>
          <t>ICWSM</t>
        </is>
      </c>
      <c r="C36" s="8" t="inlineStr">
        <is>
          <t>B</t>
        </is>
      </c>
      <c r="D36" s="8" t="inlineStr">
        <is>
          <t>未截止</t>
        </is>
      </c>
      <c r="E36" s="8" t="n">
        <v>83</v>
      </c>
      <c r="F36" s="10" t="inlineStr">
        <is>
          <t>是否到场、新人条款</t>
        </is>
      </c>
      <c r="G36" s="8" t="inlineStr">
        <is>
          <t>等官方发布</t>
        </is>
      </c>
      <c r="H36" s="10" t="inlineStr">
        <is>
          <t>2027 CFP 未出，发布后重查；不要沿用上届</t>
        </is>
      </c>
      <c r="I36" s="8" t="inlineStr">
        <is>
          <t>2027CFP未发布</t>
        </is>
      </c>
      <c r="J36" s="12" t="inlineStr">
        <is>
          <t>https://www.icwsm.org/2027/</t>
        </is>
      </c>
    </row>
    <row r="37" ht="24" customHeight="1">
      <c r="A37" s="8" t="n">
        <v>144</v>
      </c>
      <c r="B37" s="9" t="inlineStr">
        <is>
          <t>DIS</t>
        </is>
      </c>
      <c r="C37" s="8" t="inlineStr">
        <is>
          <t>C</t>
        </is>
      </c>
      <c r="D37" s="8" t="inlineStr">
        <is>
          <t>未截止</t>
        </is>
      </c>
      <c r="E37" s="8" t="n">
        <v>86</v>
      </c>
      <c r="F37" s="10" t="inlineStr">
        <is>
          <t>是否到场、新人条款</t>
        </is>
      </c>
      <c r="G37" s="8" t="inlineStr">
        <is>
          <t>等官方发布</t>
        </is>
      </c>
      <c r="H37" s="10" t="inlineStr">
        <is>
          <t>2027 CFP 未出，发布后重查；不要沿用上届</t>
        </is>
      </c>
      <c r="I37" s="8" t="inlineStr">
        <is>
          <t>2027CFP未发布</t>
        </is>
      </c>
      <c r="J37" s="12" t="inlineStr">
        <is>
          <t>https://dis.acm.org/2027/</t>
        </is>
      </c>
    </row>
    <row r="38" ht="24" customHeight="1">
      <c r="A38" s="8" t="n">
        <v>8</v>
      </c>
      <c r="B38" s="9" t="inlineStr">
        <is>
          <t>CAV</t>
        </is>
      </c>
      <c r="C38" s="8" t="inlineStr">
        <is>
          <t>A</t>
        </is>
      </c>
      <c r="D38" s="8" t="inlineStr">
        <is>
          <t>未截止</t>
        </is>
      </c>
      <c r="E38" s="8" t="n">
        <v>88</v>
      </c>
      <c r="F38" s="10" t="inlineStr">
        <is>
          <t>是否到场</t>
        </is>
      </c>
      <c r="G38" s="8" t="inlineStr">
        <is>
          <t>官网未写明</t>
        </is>
      </c>
      <c r="H38" s="10" t="inlineStr">
        <is>
          <t>查 Registration / Attending / FAQ / Reviewing 子页</t>
        </is>
      </c>
      <c r="I38" s="8" t="inlineStr">
        <is>
          <t>已核实</t>
        </is>
      </c>
      <c r="J38" s="12" t="inlineStr">
        <is>
          <t>https://conferences.i-cav.org/2027/</t>
        </is>
      </c>
    </row>
    <row r="39" ht="24" customHeight="1">
      <c r="A39" s="8" t="n">
        <v>146</v>
      </c>
      <c r="B39" s="9" t="inlineStr">
        <is>
          <t>IDC</t>
        </is>
      </c>
      <c r="C39" s="8" t="inlineStr">
        <is>
          <t>C</t>
        </is>
      </c>
      <c r="D39" s="8" t="inlineStr">
        <is>
          <t>未截止</t>
        </is>
      </c>
      <c r="E39" s="8" t="n">
        <v>93</v>
      </c>
      <c r="F39" s="10" t="inlineStr">
        <is>
          <t>是否到场</t>
        </is>
      </c>
      <c r="G39" s="8" t="inlineStr">
        <is>
          <t>官网未写明</t>
        </is>
      </c>
      <c r="H39" s="10" t="inlineStr">
        <is>
          <t>查 Registration / Attending / FAQ / Reviewing 子页</t>
        </is>
      </c>
      <c r="I39" s="8" t="inlineStr">
        <is>
          <t>已核实</t>
        </is>
      </c>
      <c r="J39" s="12" t="inlineStr">
        <is>
          <t>https://idc.acm.org/2027/</t>
        </is>
      </c>
    </row>
    <row r="40" ht="24" customHeight="1">
      <c r="A40" s="8" t="n">
        <v>103</v>
      </c>
      <c r="B40" s="9" t="inlineStr">
        <is>
          <t>CSFW</t>
        </is>
      </c>
      <c r="C40" s="8" t="inlineStr">
        <is>
          <t>B</t>
        </is>
      </c>
      <c r="D40" s="8" t="inlineStr">
        <is>
          <t>未截止</t>
        </is>
      </c>
      <c r="E40" s="8" t="n">
        <v>96</v>
      </c>
      <c r="F40" s="10" t="inlineStr">
        <is>
          <t>是否到场、新人条款</t>
        </is>
      </c>
      <c r="G40" s="8" t="inlineStr">
        <is>
          <t>官网未写明</t>
        </is>
      </c>
      <c r="H40" s="10" t="inlineStr">
        <is>
          <t>查 Registration / Attending / FAQ / Reviewing 子页</t>
        </is>
      </c>
      <c r="I40" s="8" t="inlineStr">
        <is>
          <t>已核实</t>
        </is>
      </c>
      <c r="J40" s="12" t="inlineStr">
        <is>
          <t>https://www.ieee-security.org/TC/CSF2027/</t>
        </is>
      </c>
    </row>
    <row r="41" ht="24" customHeight="1">
      <c r="A41" s="8" t="n">
        <v>87</v>
      </c>
      <c r="B41" s="9" t="inlineStr">
        <is>
          <t>SPAA</t>
        </is>
      </c>
      <c r="C41" s="8" t="inlineStr">
        <is>
          <t>B</t>
        </is>
      </c>
      <c r="D41" s="8" t="inlineStr">
        <is>
          <t>未截止</t>
        </is>
      </c>
      <c r="E41" s="8" t="n">
        <v>97</v>
      </c>
      <c r="F41" s="10" t="inlineStr">
        <is>
          <t>是否到场</t>
        </is>
      </c>
      <c r="G41" s="8" t="inlineStr">
        <is>
          <t>官网未写明</t>
        </is>
      </c>
      <c r="H41" s="10" t="inlineStr">
        <is>
          <t>查 Registration / Attending / FAQ / Reviewing 子页</t>
        </is>
      </c>
      <c r="I41" s="8" t="inlineStr">
        <is>
          <t>已核实</t>
        </is>
      </c>
      <c r="J41" s="12" t="inlineStr">
        <is>
          <t>https://spaa.acm.org/</t>
        </is>
      </c>
    </row>
    <row r="42" ht="24" customHeight="1">
      <c r="A42" s="8" t="n">
        <v>170</v>
      </c>
      <c r="B42" s="9" t="inlineStr">
        <is>
          <t>COMPSAC</t>
        </is>
      </c>
      <c r="C42" s="8" t="inlineStr">
        <is>
          <t>C</t>
        </is>
      </c>
      <c r="D42" s="8" t="inlineStr">
        <is>
          <t>未截止</t>
        </is>
      </c>
      <c r="E42" s="8" t="n">
        <v>99</v>
      </c>
      <c r="F42" s="10" t="inlineStr">
        <is>
          <t>是否到场</t>
        </is>
      </c>
      <c r="G42" s="8" t="inlineStr">
        <is>
          <t>官网未写明</t>
        </is>
      </c>
      <c r="H42" s="10" t="inlineStr">
        <is>
          <t>查 Registration / Attending / FAQ / Reviewing 子页</t>
        </is>
      </c>
      <c r="I42" s="8" t="inlineStr">
        <is>
          <t>已核实</t>
        </is>
      </c>
      <c r="J42" s="12" t="inlineStr">
        <is>
          <t>https://ieeecompsac.computer.org/2027/</t>
        </is>
      </c>
    </row>
    <row r="43" ht="24" customHeight="1">
      <c r="A43" s="8" t="n">
        <v>58</v>
      </c>
      <c r="B43" s="9" t="inlineStr">
        <is>
          <t>ICMR</t>
        </is>
      </c>
      <c r="C43" s="8" t="inlineStr">
        <is>
          <t>B</t>
        </is>
      </c>
      <c r="D43" s="8" t="inlineStr">
        <is>
          <t>未截止</t>
        </is>
      </c>
      <c r="E43" s="8" t="n">
        <v>99</v>
      </c>
      <c r="F43" s="10" t="inlineStr">
        <is>
          <t>是否到场、新人条款</t>
        </is>
      </c>
      <c r="G43" s="8" t="inlineStr">
        <is>
          <t>等官方发布</t>
        </is>
      </c>
      <c r="H43" s="10" t="inlineStr">
        <is>
          <t>2027 CFP 未出，发布后重查；不要沿用上届</t>
        </is>
      </c>
      <c r="I43" s="8" t="inlineStr">
        <is>
          <t>2027CFP未发布</t>
        </is>
      </c>
      <c r="J43" s="12" t="inlineStr">
        <is>
          <t>https://www.icmr2027.org/</t>
        </is>
      </c>
    </row>
    <row r="44" ht="24" customHeight="1">
      <c r="A44" s="8" t="n">
        <v>147</v>
      </c>
      <c r="B44" s="9" t="inlineStr">
        <is>
          <t>INTERACT</t>
        </is>
      </c>
      <c r="C44" s="8" t="inlineStr">
        <is>
          <t>C</t>
        </is>
      </c>
      <c r="D44" s="8" t="inlineStr">
        <is>
          <t>未截止</t>
        </is>
      </c>
      <c r="E44" s="8" t="n">
        <v>100</v>
      </c>
      <c r="F44" s="10" t="inlineStr">
        <is>
          <t>是否到场</t>
        </is>
      </c>
      <c r="G44" s="8" t="inlineStr">
        <is>
          <t>官网未写明</t>
        </is>
      </c>
      <c r="H44" s="10" t="inlineStr">
        <is>
          <t>查 Registration / Attending / FAQ / Reviewing 子页</t>
        </is>
      </c>
      <c r="I44" s="8" t="inlineStr">
        <is>
          <t>已核实</t>
        </is>
      </c>
      <c r="J44" s="12" t="inlineStr">
        <is>
          <t>https://interact2027.org/</t>
        </is>
      </c>
    </row>
    <row r="45" ht="24" customHeight="1">
      <c r="A45" s="8" t="n">
        <v>199</v>
      </c>
      <c r="B45" s="9" t="inlineStr">
        <is>
          <t>SAIS</t>
        </is>
      </c>
      <c r="C45" s="8" t="inlineStr">
        <is>
          <t>N</t>
        </is>
      </c>
      <c r="D45" s="8" t="inlineStr">
        <is>
          <t>未截止</t>
        </is>
      </c>
      <c r="E45" s="8" t="n">
        <v>103</v>
      </c>
      <c r="F45" s="10" t="inlineStr">
        <is>
          <t>是否到场</t>
        </is>
      </c>
      <c r="G45" s="8" t="inlineStr">
        <is>
          <t>官网未写明</t>
        </is>
      </c>
      <c r="H45" s="10" t="inlineStr">
        <is>
          <t>查 Registration / Attending / FAQ / Reviewing 子页</t>
        </is>
      </c>
      <c r="I45" s="8" t="inlineStr">
        <is>
          <t>已核实</t>
        </is>
      </c>
      <c r="J45" s="12" t="inlineStr">
        <is>
          <t>https://www.usenix.org/conference/sais27</t>
        </is>
      </c>
    </row>
    <row r="46" ht="24" customHeight="1">
      <c r="A46" s="8" t="n">
        <v>145</v>
      </c>
      <c r="B46" s="9" t="inlineStr">
        <is>
          <t>GI</t>
        </is>
      </c>
      <c r="C46" s="8" t="inlineStr">
        <is>
          <t>C</t>
        </is>
      </c>
      <c r="D46" s="8" t="inlineStr">
        <is>
          <t>未截止</t>
        </is>
      </c>
      <c r="E46" s="8" t="n">
        <v>104</v>
      </c>
      <c r="F46" s="10" t="inlineStr">
        <is>
          <t>新人条款</t>
        </is>
      </c>
      <c r="G46" s="8" t="inlineStr">
        <is>
          <t>等官方发布</t>
        </is>
      </c>
      <c r="H46" s="10" t="inlineStr">
        <is>
          <t>2027 CFP 未出，发布后重查；不要沿用上届</t>
        </is>
      </c>
      <c r="I46" s="8" t="inlineStr">
        <is>
          <t>2027CFP未发布</t>
        </is>
      </c>
      <c r="J46" s="12" t="inlineStr">
        <is>
          <t>https://conferences.graphicsinterface.org/2027</t>
        </is>
      </c>
    </row>
    <row r="47" ht="24" customHeight="1">
      <c r="A47" s="8" t="n">
        <v>91</v>
      </c>
      <c r="B47" s="9" t="inlineStr">
        <is>
          <t>MobileHCI</t>
        </is>
      </c>
      <c r="C47" s="8" t="inlineStr">
        <is>
          <t>B</t>
        </is>
      </c>
      <c r="D47" s="8" t="inlineStr">
        <is>
          <t>未截止</t>
        </is>
      </c>
      <c r="E47" s="8" t="n">
        <v>116</v>
      </c>
      <c r="F47" s="10" t="inlineStr">
        <is>
          <t>是否到场</t>
        </is>
      </c>
      <c r="G47" s="8" t="inlineStr">
        <is>
          <t>官网未写明</t>
        </is>
      </c>
      <c r="H47" s="10" t="inlineStr">
        <is>
          <t>查 Registration / Attending / FAQ / Reviewing 子页</t>
        </is>
      </c>
      <c r="I47" s="8" t="inlineStr">
        <is>
          <t>已核实</t>
        </is>
      </c>
      <c r="J47" s="12" t="inlineStr">
        <is>
          <t>https://mobilehci.acm.org/2027/</t>
        </is>
      </c>
    </row>
    <row r="48" ht="24" customHeight="1">
      <c r="A48" s="8" t="n">
        <v>122</v>
      </c>
      <c r="B48" s="9" t="inlineStr">
        <is>
          <t>ICDAR</t>
        </is>
      </c>
      <c r="C48" s="8" t="inlineStr">
        <is>
          <t>C</t>
        </is>
      </c>
      <c r="D48" s="8" t="inlineStr">
        <is>
          <t>未截止</t>
        </is>
      </c>
      <c r="E48" s="8" t="n">
        <v>119</v>
      </c>
      <c r="F48" s="10" t="inlineStr">
        <is>
          <t>新人条款</t>
        </is>
      </c>
      <c r="G48" s="8" t="inlineStr">
        <is>
          <t>官网未写明</t>
        </is>
      </c>
      <c r="H48" s="10" t="inlineStr">
        <is>
          <t>查 Registration / Attending / FAQ / Reviewing 子页</t>
        </is>
      </c>
      <c r="I48" s="8" t="inlineStr">
        <is>
          <t>已核实</t>
        </is>
      </c>
      <c r="J48" s="12" t="inlineStr">
        <is>
          <t>https://icdar2027.org/</t>
        </is>
      </c>
    </row>
    <row r="49" ht="24" customHeight="1">
      <c r="A49" s="8" t="n">
        <v>62</v>
      </c>
      <c r="B49" s="9" t="inlineStr">
        <is>
          <t>CADE</t>
        </is>
      </c>
      <c r="C49" s="8" t="inlineStr">
        <is>
          <t>B</t>
        </is>
      </c>
      <c r="D49" s="8" t="inlineStr">
        <is>
          <t>未截止</t>
        </is>
      </c>
      <c r="E49" s="8" t="n">
        <v>121</v>
      </c>
      <c r="F49" s="10" t="inlineStr">
        <is>
          <t>是否到场</t>
        </is>
      </c>
      <c r="G49" s="8" t="inlineStr">
        <is>
          <t>官网未写明</t>
        </is>
      </c>
      <c r="H49" s="10" t="inlineStr">
        <is>
          <t>查 Registration / Attending / FAQ / Reviewing 子页</t>
        </is>
      </c>
      <c r="I49" s="8" t="inlineStr">
        <is>
          <t>已核实</t>
        </is>
      </c>
      <c r="J49" s="12" t="inlineStr">
        <is>
          <t>https://fscd-cade.science.ru.nl/</t>
        </is>
      </c>
    </row>
    <row r="50" ht="24" customHeight="1">
      <c r="A50" s="8" t="n">
        <v>124</v>
      </c>
      <c r="B50" s="9" t="inlineStr">
        <is>
          <t>IEEE CEC</t>
        </is>
      </c>
      <c r="C50" s="8" t="inlineStr">
        <is>
          <t>C</t>
        </is>
      </c>
      <c r="D50" s="8" t="inlineStr">
        <is>
          <t>未截止</t>
        </is>
      </c>
      <c r="E50" s="8" t="n">
        <v>127</v>
      </c>
      <c r="F50" s="10" t="inlineStr">
        <is>
          <t>新人条款</t>
        </is>
      </c>
      <c r="G50" s="8" t="inlineStr">
        <is>
          <t>官网未写明</t>
        </is>
      </c>
      <c r="H50" s="10" t="inlineStr">
        <is>
          <t>查 Registration / Attending / FAQ / Reviewing 子页</t>
        </is>
      </c>
      <c r="I50" s="8" t="inlineStr">
        <is>
          <t>已核实</t>
        </is>
      </c>
      <c r="J50" s="12" t="inlineStr">
        <is>
          <t>https://ieeecec.org/2027</t>
        </is>
      </c>
    </row>
    <row r="51" ht="24" customHeight="1">
      <c r="A51" s="8" t="n">
        <v>115</v>
      </c>
      <c r="B51" s="9" t="inlineStr">
        <is>
          <t>RE</t>
        </is>
      </c>
      <c r="C51" s="8" t="inlineStr">
        <is>
          <t>B</t>
        </is>
      </c>
      <c r="D51" s="8" t="inlineStr">
        <is>
          <t>未截止</t>
        </is>
      </c>
      <c r="E51" s="8" t="n">
        <v>128</v>
      </c>
      <c r="F51" s="10" t="inlineStr">
        <is>
          <t>是否到场、新人条款</t>
        </is>
      </c>
      <c r="G51" s="8" t="inlineStr">
        <is>
          <t>官网未写明</t>
        </is>
      </c>
      <c r="H51" s="10" t="inlineStr">
        <is>
          <t>查 Registration / Attending / FAQ / Reviewing 子页</t>
        </is>
      </c>
      <c r="I51" s="8" t="inlineStr">
        <is>
          <t>已核实</t>
        </is>
      </c>
      <c r="J51" s="12" t="inlineStr">
        <is>
          <t>https://conf.researchr.org/home/RE-2027</t>
        </is>
      </c>
    </row>
    <row r="52" ht="24" customHeight="1">
      <c r="A52" s="8" t="n">
        <v>188</v>
      </c>
      <c r="B52" s="9" t="inlineStr">
        <is>
          <t>IEEE CoG</t>
        </is>
      </c>
      <c r="C52" s="8" t="inlineStr">
        <is>
          <t>N</t>
        </is>
      </c>
      <c r="D52" s="8" t="inlineStr">
        <is>
          <t>未截止</t>
        </is>
      </c>
      <c r="E52" s="8" t="n">
        <v>128</v>
      </c>
      <c r="F52" s="10" t="inlineStr">
        <is>
          <t>是否到场、新人条款</t>
        </is>
      </c>
      <c r="G52" s="8" t="inlineStr">
        <is>
          <t>官网未查到</t>
        </is>
      </c>
      <c r="H52" s="10" t="inlineStr">
        <is>
          <t>换入口重查（官网 / dblp / 主办方页面）</t>
        </is>
      </c>
      <c r="I52" s="8" t="inlineStr">
        <is>
          <t>未找到</t>
        </is>
      </c>
      <c r="J52" s="12" t="inlineStr">
        <is>
          <t>https://cog2027.u-aizu.ac.jp/</t>
        </is>
      </c>
    </row>
    <row r="53" ht="24" customHeight="1">
      <c r="A53" s="8" t="n">
        <v>126</v>
      </c>
      <c r="B53" s="9" t="inlineStr">
        <is>
          <t>IROS</t>
        </is>
      </c>
      <c r="C53" s="8" t="inlineStr">
        <is>
          <t>C</t>
        </is>
      </c>
      <c r="D53" s="8" t="inlineStr">
        <is>
          <t>未截止</t>
        </is>
      </c>
      <c r="E53" s="8" t="n">
        <v>128</v>
      </c>
      <c r="F53" s="10" t="inlineStr">
        <is>
          <t>新人条款</t>
        </is>
      </c>
      <c r="G53" s="8" t="inlineStr">
        <is>
          <t>等官方发布</t>
        </is>
      </c>
      <c r="H53" s="10" t="inlineStr">
        <is>
          <t>2027 CFP 未出，发布后重查；不要沿用上届</t>
        </is>
      </c>
      <c r="I53" s="8" t="inlineStr">
        <is>
          <t>2027CFP未发布</t>
        </is>
      </c>
      <c r="J53" s="12" t="inlineStr">
        <is>
          <t>https://2027.ieee-iros.org/</t>
        </is>
      </c>
    </row>
    <row r="54" ht="24" customHeight="1">
      <c r="A54" s="8" t="n">
        <v>113</v>
      </c>
      <c r="B54" s="9" t="inlineStr">
        <is>
          <t>ICSME</t>
        </is>
      </c>
      <c r="C54" s="8" t="inlineStr">
        <is>
          <t>B</t>
        </is>
      </c>
      <c r="D54" s="8" t="inlineStr">
        <is>
          <t>未截止</t>
        </is>
      </c>
      <c r="E54" s="8" t="n">
        <v>132</v>
      </c>
      <c r="F54" s="10" t="inlineStr">
        <is>
          <t>是否到场、新人条款</t>
        </is>
      </c>
      <c r="G54" s="8" t="inlineStr">
        <is>
          <t>官网未写明</t>
        </is>
      </c>
      <c r="H54" s="10" t="inlineStr">
        <is>
          <t>查 Registration / Attending / FAQ / Reviewing 子页</t>
        </is>
      </c>
      <c r="I54" s="8" t="inlineStr">
        <is>
          <t>已核实</t>
        </is>
      </c>
      <c r="J54" s="12" t="inlineStr">
        <is>
          <t>https://conf.researchr.org/home/icsme-2027</t>
        </is>
      </c>
    </row>
    <row r="55" ht="24" customHeight="1">
      <c r="A55" s="8" t="n">
        <v>123</v>
      </c>
      <c r="B55" s="9" t="inlineStr">
        <is>
          <t>ICPR</t>
        </is>
      </c>
      <c r="C55" s="8" t="inlineStr">
        <is>
          <t>C</t>
        </is>
      </c>
      <c r="D55" s="8" t="inlineStr">
        <is>
          <t>未截止</t>
        </is>
      </c>
      <c r="E55" s="8" t="n">
        <v>135</v>
      </c>
      <c r="F55" s="10" t="inlineStr">
        <is>
          <t>新人条款</t>
        </is>
      </c>
      <c r="G55" s="8" t="inlineStr">
        <is>
          <t>官网未写明</t>
        </is>
      </c>
      <c r="H55" s="10" t="inlineStr">
        <is>
          <t>查 Registration / Attending / FAQ / Reviewing 子页</t>
        </is>
      </c>
      <c r="I55" s="8" t="inlineStr">
        <is>
          <t>已核实</t>
        </is>
      </c>
      <c r="J55" s="12" t="inlineStr">
        <is>
          <t>https://www.icpr2027.com/</t>
        </is>
      </c>
    </row>
    <row r="56" ht="24" customHeight="1">
      <c r="A56" s="8" t="n">
        <v>134</v>
      </c>
      <c r="B56" s="9" t="inlineStr">
        <is>
          <t>SMI</t>
        </is>
      </c>
      <c r="C56" s="8" t="inlineStr">
        <is>
          <t>C</t>
        </is>
      </c>
      <c r="D56" s="8" t="inlineStr">
        <is>
          <t>未截止</t>
        </is>
      </c>
      <c r="E56" s="8" t="n">
        <v>135</v>
      </c>
      <c r="F56" s="10" t="inlineStr">
        <is>
          <t>是否到场</t>
        </is>
      </c>
      <c r="G56" s="8" t="inlineStr">
        <is>
          <t>官网未写明</t>
        </is>
      </c>
      <c r="H56" s="10" t="inlineStr">
        <is>
          <t>查 Registration / Attending / FAQ / Reviewing 子页</t>
        </is>
      </c>
      <c r="I56" s="8" t="inlineStr">
        <is>
          <t>已核实</t>
        </is>
      </c>
      <c r="J56" s="12" t="inlineStr">
        <is>
          <t>https://smiconf.github.io/2027/</t>
        </is>
      </c>
    </row>
    <row r="57" ht="24" customHeight="1">
      <c r="A57" s="8" t="n">
        <v>149</v>
      </c>
      <c r="B57" s="9" t="inlineStr">
        <is>
          <t>ICIC</t>
        </is>
      </c>
      <c r="C57" s="8" t="inlineStr">
        <is>
          <t>C</t>
        </is>
      </c>
      <c r="D57" s="8" t="inlineStr">
        <is>
          <t>未截止</t>
        </is>
      </c>
      <c r="E57" s="8" t="n">
        <v>142</v>
      </c>
      <c r="F57" s="10" t="inlineStr">
        <is>
          <t>是否到场、新人条款</t>
        </is>
      </c>
      <c r="G57" s="8" t="inlineStr">
        <is>
          <t>官网未查到</t>
        </is>
      </c>
      <c r="H57" s="10" t="inlineStr">
        <is>
          <t>换入口重查（官网 / dblp / 主办方页面）</t>
        </is>
      </c>
      <c r="I57" s="8" t="inlineStr">
        <is>
          <t>官网不可达</t>
        </is>
      </c>
      <c r="J57" s="12" t="inlineStr">
        <is>
          <t>http://ic-icc.cn/2027/index.php</t>
        </is>
      </c>
    </row>
    <row r="58" ht="24" customHeight="1">
      <c r="A58" s="8" t="n">
        <v>131</v>
      </c>
      <c r="B58" s="9" t="inlineStr">
        <is>
          <t>ICIP</t>
        </is>
      </c>
      <c r="C58" s="8" t="inlineStr">
        <is>
          <t>C</t>
        </is>
      </c>
      <c r="D58" s="8" t="inlineStr">
        <is>
          <t>未截止</t>
        </is>
      </c>
      <c r="E58" s="8" t="n">
        <v>158</v>
      </c>
      <c r="F58" s="10" t="inlineStr">
        <is>
          <t>新人条款</t>
        </is>
      </c>
      <c r="G58" s="8" t="inlineStr">
        <is>
          <t>官网未查到</t>
        </is>
      </c>
      <c r="H58" s="10" t="inlineStr">
        <is>
          <t>换入口重查（官网 / dblp / 主办方页面）</t>
        </is>
      </c>
      <c r="I58" s="8" t="inlineStr">
        <is>
          <t>未找到</t>
        </is>
      </c>
      <c r="J58" s="12" t="inlineStr">
        <is>
          <t>https://2027.ieeeicip.org/</t>
        </is>
      </c>
    </row>
    <row r="59" ht="24" customHeight="1">
      <c r="A59" s="8" t="n">
        <v>47</v>
      </c>
      <c r="B59" s="9" t="inlineStr">
        <is>
          <t>ECAI</t>
        </is>
      </c>
      <c r="C59" s="8" t="inlineStr">
        <is>
          <t>B</t>
        </is>
      </c>
      <c r="D59" s="8" t="inlineStr">
        <is>
          <t>未截止</t>
        </is>
      </c>
      <c r="E59" s="8" t="n">
        <v>172</v>
      </c>
      <c r="F59" s="10" t="inlineStr">
        <is>
          <t>是否到场</t>
        </is>
      </c>
      <c r="G59" s="8" t="inlineStr">
        <is>
          <t>官网未写明</t>
        </is>
      </c>
      <c r="H59" s="10" t="inlineStr">
        <is>
          <t>查 Registration / Attending / FAQ / Reviewing 子页</t>
        </is>
      </c>
      <c r="I59" s="8" t="inlineStr">
        <is>
          <t>已核实</t>
        </is>
      </c>
      <c r="J59" s="12" t="inlineStr">
        <is>
          <t>https://ecai2027.org/</t>
        </is>
      </c>
    </row>
    <row r="60" ht="24" customHeight="1">
      <c r="A60" s="8" t="n">
        <v>128</v>
      </c>
      <c r="B60" s="9" t="inlineStr">
        <is>
          <t>CGI</t>
        </is>
      </c>
      <c r="C60" s="8" t="inlineStr">
        <is>
          <t>C</t>
        </is>
      </c>
      <c r="D60" s="8" t="inlineStr">
        <is>
          <t>未截止</t>
        </is>
      </c>
      <c r="E60" s="8" t="n">
        <v>178</v>
      </c>
      <c r="F60" s="10" t="inlineStr">
        <is>
          <t>是否到场、新人条款</t>
        </is>
      </c>
      <c r="G60" s="8" t="inlineStr">
        <is>
          <t>官网未写明</t>
        </is>
      </c>
      <c r="H60" s="10" t="inlineStr">
        <is>
          <t>查 Registration / Attending / FAQ / Reviewing 子页</t>
        </is>
      </c>
      <c r="I60" s="8" t="inlineStr">
        <is>
          <t>已核实</t>
        </is>
      </c>
      <c r="J60" s="12" t="inlineStr">
        <is>
          <t>https://cgs-network.org/cgi27/</t>
        </is>
      </c>
    </row>
    <row r="61" ht="24" customHeight="1">
      <c r="A61" s="8" t="n">
        <v>51</v>
      </c>
      <c r="B61" s="9" t="inlineStr">
        <is>
          <t>KR</t>
        </is>
      </c>
      <c r="C61" s="8" t="inlineStr">
        <is>
          <t>B</t>
        </is>
      </c>
      <c r="D61" s="8" t="inlineStr">
        <is>
          <t>未截止</t>
        </is>
      </c>
      <c r="E61" s="8" t="n">
        <v>186</v>
      </c>
      <c r="F61" s="10" t="inlineStr">
        <is>
          <t>是否到场、新人条款</t>
        </is>
      </c>
      <c r="G61" s="8" t="inlineStr">
        <is>
          <t>官网未查到</t>
        </is>
      </c>
      <c r="H61" s="10" t="inlineStr">
        <is>
          <t>换入口重查（官网 / dblp / 主办方页面）</t>
        </is>
      </c>
      <c r="I61" s="8" t="inlineStr">
        <is>
          <t>未找到</t>
        </is>
      </c>
      <c r="J61" s="12" t="inlineStr">
        <is>
          <t>https://kr.org/KR2027/</t>
        </is>
      </c>
    </row>
    <row r="62" ht="24" customHeight="1">
      <c r="A62" s="8" t="n">
        <v>71</v>
      </c>
      <c r="B62" s="9" t="inlineStr">
        <is>
          <t>ICDM</t>
        </is>
      </c>
      <c r="C62" s="8" t="inlineStr">
        <is>
          <t>B</t>
        </is>
      </c>
      <c r="D62" s="8" t="inlineStr">
        <is>
          <t>未截止</t>
        </is>
      </c>
      <c r="E62" s="8" t="n">
        <v>225</v>
      </c>
      <c r="F62" s="10" t="inlineStr">
        <is>
          <t>是否到场、新人条款</t>
        </is>
      </c>
      <c r="G62" s="8" t="inlineStr">
        <is>
          <t>官网未写明</t>
        </is>
      </c>
      <c r="H62" s="10" t="inlineStr">
        <is>
          <t>查 Registration / Attending / FAQ / Reviewing 子页</t>
        </is>
      </c>
      <c r="I62" s="8" t="inlineStr">
        <is>
          <t>已核实</t>
        </is>
      </c>
      <c r="J62" s="12" t="inlineStr">
        <is>
          <t>https://icdm2027-website.onrender.com/</t>
        </is>
      </c>
    </row>
    <row r="63" ht="24" customHeight="1">
      <c r="A63" s="8" t="n">
        <v>135</v>
      </c>
      <c r="B63" s="9" t="inlineStr">
        <is>
          <t>FSCD</t>
        </is>
      </c>
      <c r="C63" s="8" t="inlineStr">
        <is>
          <t>C</t>
        </is>
      </c>
      <c r="D63" s="8" t="inlineStr">
        <is>
          <t>TBD</t>
        </is>
      </c>
      <c r="E63" s="8" t="inlineStr">
        <is>
          <t>—</t>
        </is>
      </c>
      <c r="F63" s="10" t="inlineStr">
        <is>
          <t>截稿日、是否到场</t>
        </is>
      </c>
      <c r="G63" s="8" t="inlineStr">
        <is>
          <t>官网未写明</t>
        </is>
      </c>
      <c r="H63" s="10" t="inlineStr">
        <is>
          <t>查 Registration / Attending / FAQ / Reviewing 子页</t>
        </is>
      </c>
      <c r="I63" s="8" t="inlineStr">
        <is>
          <t>已核实</t>
        </is>
      </c>
      <c r="J63" s="12" t="inlineStr">
        <is>
          <t>https://fscd-cade.science.ru.nl/</t>
        </is>
      </c>
    </row>
    <row r="64" ht="24" customHeight="1">
      <c r="A64" s="8" t="n">
        <v>54</v>
      </c>
      <c r="B64" s="9" t="inlineStr">
        <is>
          <t>EuroVis</t>
        </is>
      </c>
      <c r="C64" s="8" t="inlineStr">
        <is>
          <t>B</t>
        </is>
      </c>
      <c r="D64" s="8" t="inlineStr">
        <is>
          <t>TBD</t>
        </is>
      </c>
      <c r="E64" s="8" t="inlineStr">
        <is>
          <t>—</t>
        </is>
      </c>
      <c r="F64" s="10" t="inlineStr">
        <is>
          <t>截稿日、是否到场、新人条款</t>
        </is>
      </c>
      <c r="G64" s="8" t="inlineStr">
        <is>
          <t>官网未查到</t>
        </is>
      </c>
      <c r="H64" s="10" t="inlineStr">
        <is>
          <t>换入口重查（官网 / dblp / 主办方页面）</t>
        </is>
      </c>
      <c r="I64" s="8" t="inlineStr">
        <is>
          <t>未找到</t>
        </is>
      </c>
      <c r="J64" s="12" t="inlineStr">
        <is>
          <t>https://eurovis27.github.io/web/</t>
        </is>
      </c>
    </row>
    <row r="65" ht="24" customHeight="1">
      <c r="A65" s="8" t="n">
        <v>4</v>
      </c>
      <c r="B65" s="9" t="inlineStr">
        <is>
          <t>ICCV</t>
        </is>
      </c>
      <c r="C65" s="8" t="inlineStr">
        <is>
          <t>A</t>
        </is>
      </c>
      <c r="D65" s="8" t="inlineStr">
        <is>
          <t>TBD</t>
        </is>
      </c>
      <c r="E65" s="8" t="inlineStr">
        <is>
          <t>—</t>
        </is>
      </c>
      <c r="F65" s="10" t="inlineStr">
        <is>
          <t>截稿日、新人条款</t>
        </is>
      </c>
      <c r="G65" s="8" t="inlineStr">
        <is>
          <t>等官方发布</t>
        </is>
      </c>
      <c r="H65" s="10" t="inlineStr">
        <is>
          <t>2027 CFP 未出，发布后重查；不要沿用上届</t>
        </is>
      </c>
      <c r="I65" s="8" t="inlineStr">
        <is>
          <t>2027CFP未发布</t>
        </is>
      </c>
      <c r="J65" s="12" t="inlineStr">
        <is>
          <t>https://iccv.thecvf.com/Conferences/2027</t>
        </is>
      </c>
    </row>
    <row r="66" ht="24" customHeight="1">
      <c r="A66" s="8" t="n">
        <v>6</v>
      </c>
      <c r="B66" s="9" t="inlineStr">
        <is>
          <t>ACM SIGGRAPH</t>
        </is>
      </c>
      <c r="C66" s="8" t="inlineStr">
        <is>
          <t>A</t>
        </is>
      </c>
      <c r="D66" s="8" t="inlineStr">
        <is>
          <t>TBD</t>
        </is>
      </c>
      <c r="E66" s="8" t="inlineStr">
        <is>
          <t>—</t>
        </is>
      </c>
      <c r="F66" s="10" t="inlineStr">
        <is>
          <t>截稿日、新人条款</t>
        </is>
      </c>
      <c r="G66" s="8" t="inlineStr">
        <is>
          <t>等官方发布</t>
        </is>
      </c>
      <c r="H66" s="10" t="inlineStr">
        <is>
          <t>2027 CFP 未出，发布后重查；不要沿用上届</t>
        </is>
      </c>
      <c r="I66" s="8" t="inlineStr">
        <is>
          <t>2027CFP未发布</t>
        </is>
      </c>
      <c r="J66" s="12" t="inlineStr">
        <is>
          <t>https://s2027.siggraph.org/</t>
        </is>
      </c>
    </row>
    <row r="67" ht="24" customHeight="1">
      <c r="A67" s="8" t="n">
        <v>9</v>
      </c>
      <c r="B67" s="9" t="inlineStr">
        <is>
          <t>LICS</t>
        </is>
      </c>
      <c r="C67" s="8" t="inlineStr">
        <is>
          <t>A</t>
        </is>
      </c>
      <c r="D67" s="8" t="inlineStr">
        <is>
          <t>TBD</t>
        </is>
      </c>
      <c r="E67" s="8" t="inlineStr">
        <is>
          <t>—</t>
        </is>
      </c>
      <c r="F67" s="10" t="inlineStr">
        <is>
          <t>截稿日、是否到场、新人条款</t>
        </is>
      </c>
      <c r="G67" s="8" t="inlineStr">
        <is>
          <t>等官方发布</t>
        </is>
      </c>
      <c r="H67" s="10" t="inlineStr">
        <is>
          <t>2027 CFP 未出，发布后重查；不要沿用上届</t>
        </is>
      </c>
      <c r="I67" s="8" t="inlineStr">
        <is>
          <t>2027CFP未发布</t>
        </is>
      </c>
      <c r="J67" s="12" t="inlineStr">
        <is>
          <t>https://lics.siglog.org/lics27/</t>
        </is>
      </c>
    </row>
    <row r="68" ht="24" customHeight="1">
      <c r="A68" s="8" t="n">
        <v>25</v>
      </c>
      <c r="B68" s="9" t="inlineStr">
        <is>
          <t>UbiComp/ISWC</t>
        </is>
      </c>
      <c r="C68" s="8" t="inlineStr">
        <is>
          <t>A</t>
        </is>
      </c>
      <c r="D68" s="8" t="inlineStr">
        <is>
          <t>TBD</t>
        </is>
      </c>
      <c r="E68" s="8" t="inlineStr">
        <is>
          <t>—</t>
        </is>
      </c>
      <c r="F68" s="10" t="inlineStr">
        <is>
          <t>截稿日、是否到场、新人条款</t>
        </is>
      </c>
      <c r="G68" s="8" t="inlineStr">
        <is>
          <t>等官方发布</t>
        </is>
      </c>
      <c r="H68" s="10" t="inlineStr">
        <is>
          <t>2027 CFP 未出，发布后重查；不要沿用上届</t>
        </is>
      </c>
      <c r="I68" s="8" t="inlineStr">
        <is>
          <t>2027CFP未发布</t>
        </is>
      </c>
      <c r="J68" s="12" t="inlineStr">
        <is>
          <t>https://sigchi.org/events/ubicomp-2027/</t>
        </is>
      </c>
    </row>
    <row r="69" ht="24" customHeight="1">
      <c r="A69" s="8" t="n">
        <v>31</v>
      </c>
      <c r="B69" s="9" t="inlineStr">
        <is>
          <t>CCS</t>
        </is>
      </c>
      <c r="C69" s="8" t="inlineStr">
        <is>
          <t>A</t>
        </is>
      </c>
      <c r="D69" s="8" t="inlineStr">
        <is>
          <t>TBD</t>
        </is>
      </c>
      <c r="E69" s="8" t="inlineStr">
        <is>
          <t>—</t>
        </is>
      </c>
      <c r="F69" s="10" t="inlineStr">
        <is>
          <t>截稿日、新人条款</t>
        </is>
      </c>
      <c r="G69" s="8" t="inlineStr">
        <is>
          <t>等官方发布</t>
        </is>
      </c>
      <c r="H69" s="10" t="inlineStr">
        <is>
          <t>2027 CFP 未出，发布后重查；不要沿用上届</t>
        </is>
      </c>
      <c r="I69" s="8" t="inlineStr">
        <is>
          <t>2027CFP未发布</t>
        </is>
      </c>
      <c r="J69" s="12" t="inlineStr">
        <is>
          <t>https://www.sigsac.org/ccs/CCS2027/</t>
        </is>
      </c>
    </row>
    <row r="70" ht="24" customHeight="1">
      <c r="A70" s="8" t="n">
        <v>36</v>
      </c>
      <c r="B70" s="9" t="inlineStr">
        <is>
          <t>FM</t>
        </is>
      </c>
      <c r="C70" s="8" t="inlineStr">
        <is>
          <t>A</t>
        </is>
      </c>
      <c r="D70" s="8" t="inlineStr">
        <is>
          <t>TBD</t>
        </is>
      </c>
      <c r="E70" s="8" t="inlineStr">
        <is>
          <t>—</t>
        </is>
      </c>
      <c r="F70" s="10" t="inlineStr">
        <is>
          <t>截稿日、新人条款</t>
        </is>
      </c>
      <c r="G70" s="8" t="inlineStr">
        <is>
          <t>等官方发布</t>
        </is>
      </c>
      <c r="H70" s="10" t="inlineStr">
        <is>
          <t>2027 CFP 未出，发布后重查；不要沿用上届</t>
        </is>
      </c>
      <c r="I70" s="8" t="inlineStr">
        <is>
          <t>2027CFP未发布</t>
        </is>
      </c>
      <c r="J70" s="12" t="inlineStr">
        <is>
          <t>https://www.fmeurope.org/feature/upcoming_conferences/</t>
        </is>
      </c>
    </row>
    <row r="71" ht="24" customHeight="1">
      <c r="A71" s="8" t="n">
        <v>46</v>
      </c>
      <c r="B71" s="9" t="inlineStr">
        <is>
          <t>COLT</t>
        </is>
      </c>
      <c r="C71" s="8" t="inlineStr">
        <is>
          <t>B</t>
        </is>
      </c>
      <c r="D71" s="8" t="inlineStr">
        <is>
          <t>TBD</t>
        </is>
      </c>
      <c r="E71" s="8" t="inlineStr">
        <is>
          <t>—</t>
        </is>
      </c>
      <c r="F71" s="10" t="inlineStr">
        <is>
          <t>截稿日、新人条款</t>
        </is>
      </c>
      <c r="G71" s="8" t="inlineStr">
        <is>
          <t>等官方发布</t>
        </is>
      </c>
      <c r="H71" s="10" t="inlineStr">
        <is>
          <t>2027 CFP 未出，发布后重查；不要沿用上届</t>
        </is>
      </c>
      <c r="I71" s="8" t="inlineStr">
        <is>
          <t>2027CFP未发布</t>
        </is>
      </c>
      <c r="J71" s="12" t="inlineStr">
        <is>
          <t>https://learningtheory.org/colt2027/</t>
        </is>
      </c>
    </row>
    <row r="72" ht="24" customHeight="1">
      <c r="A72" s="8" t="n">
        <v>60</v>
      </c>
      <c r="B72" s="9" t="inlineStr">
        <is>
          <t>SGP</t>
        </is>
      </c>
      <c r="C72" s="8" t="inlineStr">
        <is>
          <t>B</t>
        </is>
      </c>
      <c r="D72" s="8" t="inlineStr">
        <is>
          <t>TBD</t>
        </is>
      </c>
      <c r="E72" s="8" t="inlineStr">
        <is>
          <t>—</t>
        </is>
      </c>
      <c r="F72" s="10" t="inlineStr">
        <is>
          <t>截稿日、是否到场、新人条款</t>
        </is>
      </c>
      <c r="G72" s="8" t="inlineStr">
        <is>
          <t>等官方发布</t>
        </is>
      </c>
      <c r="H72" s="10" t="inlineStr">
        <is>
          <t>2027 CFP 未出，发布后重查；不要沿用上届</t>
        </is>
      </c>
      <c r="I72" s="8" t="inlineStr">
        <is>
          <t>2027CFP未发布</t>
        </is>
      </c>
      <c r="J72" s="12" t="inlineStr">
        <is>
          <t>https://igs2027singapore.github.io/</t>
        </is>
      </c>
    </row>
    <row r="73" ht="24" customHeight="1">
      <c r="A73" s="8" t="n">
        <v>61</v>
      </c>
      <c r="B73" s="9" t="inlineStr">
        <is>
          <t>SPM</t>
        </is>
      </c>
      <c r="C73" s="8" t="inlineStr">
        <is>
          <t>B</t>
        </is>
      </c>
      <c r="D73" s="8" t="inlineStr">
        <is>
          <t>TBD</t>
        </is>
      </c>
      <c r="E73" s="8" t="inlineStr">
        <is>
          <t>—</t>
        </is>
      </c>
      <c r="F73" s="10" t="inlineStr">
        <is>
          <t>截稿日、是否到场、新人条款</t>
        </is>
      </c>
      <c r="G73" s="8" t="inlineStr">
        <is>
          <t>等官方发布</t>
        </is>
      </c>
      <c r="H73" s="10" t="inlineStr">
        <is>
          <t>2027 CFP 未出，发布后重查；不要沿用上届</t>
        </is>
      </c>
      <c r="I73" s="8" t="inlineStr">
        <is>
          <t>2027CFP未发布</t>
        </is>
      </c>
      <c r="J73" s="12" t="inlineStr">
        <is>
          <t>https://igs2027singapore.github.io/</t>
        </is>
      </c>
    </row>
    <row r="74" ht="24" customHeight="1">
      <c r="A74" s="8" t="n">
        <v>63</v>
      </c>
      <c r="B74" s="9" t="inlineStr">
        <is>
          <t>CCC</t>
        </is>
      </c>
      <c r="C74" s="8" t="inlineStr">
        <is>
          <t>B</t>
        </is>
      </c>
      <c r="D74" s="8" t="inlineStr">
        <is>
          <t>TBD</t>
        </is>
      </c>
      <c r="E74" s="8" t="inlineStr">
        <is>
          <t>—</t>
        </is>
      </c>
      <c r="F74" s="10" t="inlineStr">
        <is>
          <t>截稿日、是否到场、新人条款</t>
        </is>
      </c>
      <c r="G74" s="8" t="inlineStr">
        <is>
          <t>等官方发布</t>
        </is>
      </c>
      <c r="H74" s="10" t="inlineStr">
        <is>
          <t>2027 CFP 未出，发布后重查；不要沿用上届</t>
        </is>
      </c>
      <c r="I74" s="8" t="inlineStr">
        <is>
          <t>2027CFP未发布</t>
        </is>
      </c>
      <c r="J74" s="12" t="inlineStr">
        <is>
          <t>https://computationalcomplexity.org/</t>
        </is>
      </c>
    </row>
    <row r="75" ht="24" customHeight="1">
      <c r="A75" s="8" t="n">
        <v>66</v>
      </c>
      <c r="B75" s="9" t="inlineStr">
        <is>
          <t>SOCG</t>
        </is>
      </c>
      <c r="C75" s="8" t="inlineStr">
        <is>
          <t>B</t>
        </is>
      </c>
      <c r="D75" s="8" t="inlineStr">
        <is>
          <t>TBD</t>
        </is>
      </c>
      <c r="E75" s="8" t="inlineStr">
        <is>
          <t>—</t>
        </is>
      </c>
      <c r="F75" s="10" t="inlineStr">
        <is>
          <t>截稿日、是否到场、新人条款</t>
        </is>
      </c>
      <c r="G75" s="8" t="inlineStr">
        <is>
          <t>等官方发布</t>
        </is>
      </c>
      <c r="H75" s="10" t="inlineStr">
        <is>
          <t>2027 CFP 未出，发布后重查；不要沿用上届</t>
        </is>
      </c>
      <c r="I75" s="8" t="inlineStr">
        <is>
          <t>2027CFP未发布</t>
        </is>
      </c>
      <c r="J75" s="12" t="inlineStr">
        <is>
          <t>https://cgweek27.computational-geometry.org/</t>
        </is>
      </c>
    </row>
    <row r="76" ht="24" customHeight="1">
      <c r="A76" s="8" t="n">
        <v>69</v>
      </c>
      <c r="B76" s="9" t="inlineStr">
        <is>
          <t>ECML-PKDD</t>
        </is>
      </c>
      <c r="C76" s="8" t="inlineStr">
        <is>
          <t>B</t>
        </is>
      </c>
      <c r="D76" s="8" t="inlineStr">
        <is>
          <t>TBD</t>
        </is>
      </c>
      <c r="E76" s="8" t="inlineStr">
        <is>
          <t>—</t>
        </is>
      </c>
      <c r="F76" s="10" t="inlineStr">
        <is>
          <t>截稿日、是否到场、新人条款</t>
        </is>
      </c>
      <c r="G76" s="8" t="inlineStr">
        <is>
          <t>等官方发布</t>
        </is>
      </c>
      <c r="H76" s="10" t="inlineStr">
        <is>
          <t>2027 CFP 未出，发布后重查；不要沿用上届</t>
        </is>
      </c>
      <c r="I76" s="8" t="inlineStr">
        <is>
          <t>2027CFP未发布</t>
        </is>
      </c>
      <c r="J76" s="12" t="inlineStr">
        <is>
          <t>https://ecmlpkdd.org/2027/</t>
        </is>
      </c>
    </row>
    <row r="77" ht="24" customHeight="1">
      <c r="A77" s="8" t="n">
        <v>74</v>
      </c>
      <c r="B77" s="9" t="inlineStr">
        <is>
          <t>RecSys</t>
        </is>
      </c>
      <c r="C77" s="8" t="inlineStr">
        <is>
          <t>B</t>
        </is>
      </c>
      <c r="D77" s="8" t="inlineStr">
        <is>
          <t>TBD</t>
        </is>
      </c>
      <c r="E77" s="8" t="inlineStr">
        <is>
          <t>—</t>
        </is>
      </c>
      <c r="F77" s="10" t="inlineStr">
        <is>
          <t>截稿日、是否到场、新人条款</t>
        </is>
      </c>
      <c r="G77" s="8" t="inlineStr">
        <is>
          <t>等官方发布</t>
        </is>
      </c>
      <c r="H77" s="10" t="inlineStr">
        <is>
          <t>2027 CFP 未出，发布后重查；不要沿用上届</t>
        </is>
      </c>
      <c r="I77" s="8" t="inlineStr">
        <is>
          <t>2027CFP未发布</t>
        </is>
      </c>
      <c r="J77" s="12" t="inlineStr">
        <is>
          <t>https://recsys.acm.org/recsys27/</t>
        </is>
      </c>
    </row>
    <row r="78" ht="24" customHeight="1">
      <c r="A78" s="8" t="n">
        <v>79</v>
      </c>
      <c r="B78" s="9" t="inlineStr">
        <is>
          <t>ICDCS</t>
        </is>
      </c>
      <c r="C78" s="8" t="inlineStr">
        <is>
          <t>B</t>
        </is>
      </c>
      <c r="D78" s="8" t="inlineStr">
        <is>
          <t>TBD</t>
        </is>
      </c>
      <c r="E78" s="8" t="inlineStr">
        <is>
          <t>—</t>
        </is>
      </c>
      <c r="F78" s="10" t="inlineStr">
        <is>
          <t>截稿日、是否到场、新人条款</t>
        </is>
      </c>
      <c r="G78" s="8" t="inlineStr">
        <is>
          <t>等官方发布</t>
        </is>
      </c>
      <c r="H78" s="10" t="inlineStr">
        <is>
          <t>2027 CFP 未出，发布后重查；不要沿用上届</t>
        </is>
      </c>
      <c r="I78" s="8" t="inlineStr">
        <is>
          <t>2027CFP未发布</t>
        </is>
      </c>
      <c r="J78" s="12" t="inlineStr">
        <is>
          <t>https://icdcs2027.icdcs.org/</t>
        </is>
      </c>
    </row>
    <row r="79" ht="24" customHeight="1">
      <c r="A79" s="8" t="n">
        <v>84</v>
      </c>
      <c r="B79" s="9" t="inlineStr">
        <is>
          <t>MSST</t>
        </is>
      </c>
      <c r="C79" s="8" t="inlineStr">
        <is>
          <t>B</t>
        </is>
      </c>
      <c r="D79" s="8" t="inlineStr">
        <is>
          <t>TBD</t>
        </is>
      </c>
      <c r="E79" s="8" t="inlineStr">
        <is>
          <t>—</t>
        </is>
      </c>
      <c r="F79" s="10" t="inlineStr">
        <is>
          <t>截稿日、是否到场、新人条款</t>
        </is>
      </c>
      <c r="G79" s="8" t="inlineStr">
        <is>
          <t>等官方发布</t>
        </is>
      </c>
      <c r="H79" s="10" t="inlineStr">
        <is>
          <t>2027 CFP 未出，发布后重查；不要沿用上届</t>
        </is>
      </c>
      <c r="I79" s="8" t="inlineStr">
        <is>
          <t>2027CFP未发布</t>
        </is>
      </c>
      <c r="J79" s="12" t="inlineStr">
        <is>
          <t>https://www.msstconference.org/</t>
        </is>
      </c>
    </row>
    <row r="80" ht="24" customHeight="1">
      <c r="A80" s="8" t="n">
        <v>94</v>
      </c>
      <c r="B80" s="9" t="inlineStr">
        <is>
          <t>MICCAI</t>
        </is>
      </c>
      <c r="C80" s="8" t="inlineStr">
        <is>
          <t>B</t>
        </is>
      </c>
      <c r="D80" s="8" t="inlineStr">
        <is>
          <t>TBD</t>
        </is>
      </c>
      <c r="E80" s="8" t="inlineStr">
        <is>
          <t>—</t>
        </is>
      </c>
      <c r="F80" s="10" t="inlineStr">
        <is>
          <t>截稿日、新人条款</t>
        </is>
      </c>
      <c r="G80" s="8" t="inlineStr">
        <is>
          <t>等官方发布</t>
        </is>
      </c>
      <c r="H80" s="10" t="inlineStr">
        <is>
          <t>2027 CFP 未出，发布后重查；不要沿用上届</t>
        </is>
      </c>
      <c r="I80" s="8" t="inlineStr">
        <is>
          <t>2027CFP未发布</t>
        </is>
      </c>
      <c r="J80" s="12" t="inlineStr">
        <is>
          <t>https://conferences.miccai.org/2027/en/</t>
        </is>
      </c>
    </row>
    <row r="81" ht="24" customHeight="1">
      <c r="A81" s="8" t="n">
        <v>114</v>
      </c>
      <c r="B81" s="9" t="inlineStr">
        <is>
          <t>ISSRE</t>
        </is>
      </c>
      <c r="C81" s="8" t="inlineStr">
        <is>
          <t>B</t>
        </is>
      </c>
      <c r="D81" s="8" t="inlineStr">
        <is>
          <t>TBD</t>
        </is>
      </c>
      <c r="E81" s="8" t="inlineStr">
        <is>
          <t>—</t>
        </is>
      </c>
      <c r="F81" s="10" t="inlineStr">
        <is>
          <t>截稿日、是否到场、新人条款</t>
        </is>
      </c>
      <c r="G81" s="8" t="inlineStr">
        <is>
          <t>等官方发布</t>
        </is>
      </c>
      <c r="H81" s="10" t="inlineStr">
        <is>
          <t>2027 CFP 未出，发布后重查；不要沿用上届</t>
        </is>
      </c>
      <c r="I81" s="8" t="inlineStr">
        <is>
          <t>2027CFP未发布</t>
        </is>
      </c>
      <c r="J81" s="12" t="inlineStr">
        <is>
          <t>https://conf.researchr.org/home/issre-2027</t>
        </is>
      </c>
    </row>
    <row r="82" ht="24" customHeight="1">
      <c r="A82" s="8" t="n">
        <v>121</v>
      </c>
      <c r="B82" s="9" t="inlineStr">
        <is>
          <t>GECCO</t>
        </is>
      </c>
      <c r="C82" s="8" t="inlineStr">
        <is>
          <t>C</t>
        </is>
      </c>
      <c r="D82" s="8" t="inlineStr">
        <is>
          <t>TBD</t>
        </is>
      </c>
      <c r="E82" s="8" t="inlineStr">
        <is>
          <t>—</t>
        </is>
      </c>
      <c r="F82" s="10" t="inlineStr">
        <is>
          <t>截稿日、是否到场、新人条款</t>
        </is>
      </c>
      <c r="G82" s="8" t="inlineStr">
        <is>
          <t>等官方发布</t>
        </is>
      </c>
      <c r="H82" s="10" t="inlineStr">
        <is>
          <t>2027 CFP 未出，发布后重查；不要沿用上届</t>
        </is>
      </c>
      <c r="I82" s="8" t="inlineStr">
        <is>
          <t>2027CFP未发布</t>
        </is>
      </c>
      <c r="J82" s="12" t="inlineStr">
        <is>
          <t>https://gecco-2027.sigevo.org/HomePage</t>
        </is>
      </c>
    </row>
    <row r="83" ht="24" customHeight="1">
      <c r="A83" s="8" t="n">
        <v>167</v>
      </c>
      <c r="B83" s="9" t="inlineStr">
        <is>
          <t>SEC</t>
        </is>
      </c>
      <c r="C83" s="8" t="inlineStr">
        <is>
          <t>C</t>
        </is>
      </c>
      <c r="D83" s="8" t="inlineStr">
        <is>
          <t>TBD</t>
        </is>
      </c>
      <c r="E83" s="8" t="inlineStr">
        <is>
          <t>—</t>
        </is>
      </c>
      <c r="F83" s="10" t="inlineStr">
        <is>
          <t>截稿日、是否到场、新人条款</t>
        </is>
      </c>
      <c r="G83" s="8" t="inlineStr">
        <is>
          <t>等官方发布</t>
        </is>
      </c>
      <c r="H83" s="10" t="inlineStr">
        <is>
          <t>2027 CFP 未出，发布后重查；不要沿用上届</t>
        </is>
      </c>
      <c r="I83" s="8" t="inlineStr">
        <is>
          <t>2027CFP未发布</t>
        </is>
      </c>
      <c r="J83" s="12" t="inlineStr">
        <is>
          <t>https://ifipsec.org/</t>
        </is>
      </c>
    </row>
    <row r="84" ht="24" customHeight="1">
      <c r="A84" s="8" t="n">
        <v>168</v>
      </c>
      <c r="B84" s="9" t="inlineStr">
        <is>
          <t>SOUPS</t>
        </is>
      </c>
      <c r="C84" s="8" t="inlineStr">
        <is>
          <t>C</t>
        </is>
      </c>
      <c r="D84" s="8" t="inlineStr">
        <is>
          <t>TBD</t>
        </is>
      </c>
      <c r="E84" s="8" t="inlineStr">
        <is>
          <t>—</t>
        </is>
      </c>
      <c r="F84" s="10" t="inlineStr">
        <is>
          <t>截稿日、新人条款</t>
        </is>
      </c>
      <c r="G84" s="8" t="inlineStr">
        <is>
          <t>等官方发布</t>
        </is>
      </c>
      <c r="H84" s="10" t="inlineStr">
        <is>
          <t>2027 CFP 未出，发布后重查；不要沿用上届</t>
        </is>
      </c>
      <c r="I84" s="8" t="inlineStr">
        <is>
          <t>2027CFP未发布</t>
        </is>
      </c>
      <c r="J84" s="12" t="inlineStr">
        <is>
          <t>https://www.usenix.org/conference/soups2027</t>
        </is>
      </c>
    </row>
    <row r="85" ht="24" customHeight="1">
      <c r="A85" s="8" t="n">
        <v>186</v>
      </c>
      <c r="B85" s="9" t="inlineStr">
        <is>
          <t>ACM SIGGRAPH ASIA</t>
        </is>
      </c>
      <c r="C85" s="8" t="inlineStr">
        <is>
          <t>N</t>
        </is>
      </c>
      <c r="D85" s="8" t="inlineStr">
        <is>
          <t>TBD</t>
        </is>
      </c>
      <c r="E85" s="8" t="inlineStr">
        <is>
          <t>—</t>
        </is>
      </c>
      <c r="F85" s="10" t="inlineStr">
        <is>
          <t>截稿日、新人条款</t>
        </is>
      </c>
      <c r="G85" s="8" t="inlineStr">
        <is>
          <t>等官方发布</t>
        </is>
      </c>
      <c r="H85" s="10" t="inlineStr">
        <is>
          <t>2027 CFP 未出，发布后重查；不要沿用上届</t>
        </is>
      </c>
      <c r="I85" s="8" t="inlineStr">
        <is>
          <t>2027CFP未发布</t>
        </is>
      </c>
      <c r="J85" s="12" t="inlineStr">
        <is>
          <t>https://asia.siggraph.org/2027/</t>
        </is>
      </c>
    </row>
    <row r="86" ht="24" customHeight="1">
      <c r="A86" s="8" t="n">
        <v>191</v>
      </c>
      <c r="B86" s="9" t="inlineStr">
        <is>
          <t>CLEF</t>
        </is>
      </c>
      <c r="C86" s="8" t="inlineStr">
        <is>
          <t>N</t>
        </is>
      </c>
      <c r="D86" s="8" t="inlineStr">
        <is>
          <t>TBD</t>
        </is>
      </c>
      <c r="E86" s="8" t="inlineStr">
        <is>
          <t>—</t>
        </is>
      </c>
      <c r="F86" s="10" t="inlineStr">
        <is>
          <t>截稿日、是否到场、新人条款</t>
        </is>
      </c>
      <c r="G86" s="8" t="inlineStr">
        <is>
          <t>等官方发布</t>
        </is>
      </c>
      <c r="H86" s="10" t="inlineStr">
        <is>
          <t>2027 CFP 未出，发布后重查；不要沿用上届</t>
        </is>
      </c>
      <c r="I86" s="8" t="inlineStr">
        <is>
          <t>2027CFP未发布</t>
        </is>
      </c>
      <c r="J86" s="12" t="inlineStr">
        <is>
          <t>https://clef2027.clef-initiative.eu/</t>
        </is>
      </c>
    </row>
    <row r="87" ht="24" customHeight="1">
      <c r="A87" s="8" t="n">
        <v>1</v>
      </c>
      <c r="B87" s="9" t="inlineStr">
        <is>
          <t>AAAI</t>
        </is>
      </c>
      <c r="C87" s="8" t="inlineStr">
        <is>
          <t>A</t>
        </is>
      </c>
      <c r="D87" s="8" t="inlineStr">
        <is>
          <t>已截止</t>
        </is>
      </c>
      <c r="E87" s="8" t="inlineStr">
        <is>
          <t>—</t>
        </is>
      </c>
      <c r="F87" s="10" t="inlineStr">
        <is>
          <t>新人条款</t>
        </is>
      </c>
      <c r="G87" s="8" t="inlineStr">
        <is>
          <t>官网未写明</t>
        </is>
      </c>
      <c r="H87" s="10" t="inlineStr">
        <is>
          <t>查 Registration / Attending / FAQ / Reviewing 子页</t>
        </is>
      </c>
      <c r="I87" s="8" t="inlineStr">
        <is>
          <t>已核实</t>
        </is>
      </c>
      <c r="J87" s="12" t="inlineStr">
        <is>
          <t>https://aaai.org/conference/aaai/aaai-27/</t>
        </is>
      </c>
    </row>
    <row r="88" ht="24" customHeight="1">
      <c r="A88" s="8" t="n">
        <v>15</v>
      </c>
      <c r="B88" s="9" t="inlineStr">
        <is>
          <t>SIGMOD</t>
        </is>
      </c>
      <c r="C88" s="8" t="inlineStr">
        <is>
          <t>A</t>
        </is>
      </c>
      <c r="D88" s="8" t="inlineStr">
        <is>
          <t>已截止</t>
        </is>
      </c>
      <c r="E88" s="8" t="inlineStr">
        <is>
          <t>—</t>
        </is>
      </c>
      <c r="F88" s="10" t="inlineStr">
        <is>
          <t>新人条款</t>
        </is>
      </c>
      <c r="G88" s="8" t="inlineStr">
        <is>
          <t>官网未写明</t>
        </is>
      </c>
      <c r="H88" s="10" t="inlineStr">
        <is>
          <t>查 Registration / Attending / FAQ / Reviewing 子页</t>
        </is>
      </c>
      <c r="I88" s="8" t="inlineStr">
        <is>
          <t>已核实</t>
        </is>
      </c>
      <c r="J88" s="12" t="inlineStr">
        <is>
          <t>https://2027.sigmod.org/</t>
        </is>
      </c>
    </row>
    <row r="89" ht="24" customHeight="1">
      <c r="A89" s="8" t="n">
        <v>27</v>
      </c>
      <c r="B89" s="9" t="inlineStr">
        <is>
          <t>INFOCOM</t>
        </is>
      </c>
      <c r="C89" s="8" t="inlineStr">
        <is>
          <t>A</t>
        </is>
      </c>
      <c r="D89" s="8" t="inlineStr">
        <is>
          <t>已截止</t>
        </is>
      </c>
      <c r="E89" s="8" t="inlineStr">
        <is>
          <t>—</t>
        </is>
      </c>
      <c r="F89" s="10" t="inlineStr">
        <is>
          <t>新人条款</t>
        </is>
      </c>
      <c r="G89" s="8" t="inlineStr">
        <is>
          <t>官网未写明</t>
        </is>
      </c>
      <c r="H89" s="10" t="inlineStr">
        <is>
          <t>查 Registration / Attending / FAQ / Reviewing 子页</t>
        </is>
      </c>
      <c r="I89" s="8" t="inlineStr">
        <is>
          <t>已核实</t>
        </is>
      </c>
      <c r="J89" s="12" t="inlineStr">
        <is>
          <t>https://infocom2027.ieee-infocom.org/</t>
        </is>
      </c>
    </row>
    <row r="90" ht="24" customHeight="1">
      <c r="A90" s="8" t="n">
        <v>37</v>
      </c>
      <c r="B90" s="9" t="inlineStr">
        <is>
          <t>FSE</t>
        </is>
      </c>
      <c r="C90" s="8" t="inlineStr">
        <is>
          <t>A</t>
        </is>
      </c>
      <c r="D90" s="8" t="inlineStr">
        <is>
          <t>已截止</t>
        </is>
      </c>
      <c r="E90" s="8" t="inlineStr">
        <is>
          <t>—</t>
        </is>
      </c>
      <c r="F90" s="10" t="inlineStr">
        <is>
          <t>新人条款</t>
        </is>
      </c>
      <c r="G90" s="8" t="inlineStr">
        <is>
          <t>官网未写明</t>
        </is>
      </c>
      <c r="H90" s="10" t="inlineStr">
        <is>
          <t>查 Registration / Attending / FAQ / Reviewing 子页</t>
        </is>
      </c>
      <c r="I90" s="8" t="inlineStr">
        <is>
          <t>已核实</t>
        </is>
      </c>
      <c r="J90" s="12" t="inlineStr">
        <is>
          <t>https://conf.researchr.org/home/fse-2027</t>
        </is>
      </c>
    </row>
    <row r="91" ht="24" customHeight="1">
      <c r="A91" s="8" t="n">
        <v>38</v>
      </c>
      <c r="B91" s="9" t="inlineStr">
        <is>
          <t>ICSE</t>
        </is>
      </c>
      <c r="C91" s="8" t="inlineStr">
        <is>
          <t>A</t>
        </is>
      </c>
      <c r="D91" s="8" t="inlineStr">
        <is>
          <t>已截止</t>
        </is>
      </c>
      <c r="E91" s="8" t="inlineStr">
        <is>
          <t>—</t>
        </is>
      </c>
      <c r="F91" s="10" t="inlineStr">
        <is>
          <t>新人条款</t>
        </is>
      </c>
      <c r="G91" s="8" t="inlineStr">
        <is>
          <t>官网未写明</t>
        </is>
      </c>
      <c r="H91" s="10" t="inlineStr">
        <is>
          <t>查 Registration / Attending / FAQ / Reviewing 子页</t>
        </is>
      </c>
      <c r="I91" s="8" t="inlineStr">
        <is>
          <t>已核实</t>
        </is>
      </c>
      <c r="J91" s="12" t="inlineStr">
        <is>
          <t>https://conf.researchr.org/home/icse-2027</t>
        </is>
      </c>
    </row>
    <row r="92" ht="24" customHeight="1">
      <c r="A92" s="8" t="n">
        <v>44</v>
      </c>
      <c r="B92" s="9" t="inlineStr">
        <is>
          <t>AAMAS</t>
        </is>
      </c>
      <c r="C92" s="8" t="inlineStr">
        <is>
          <t>B</t>
        </is>
      </c>
      <c r="D92" s="8" t="inlineStr">
        <is>
          <t>已截止</t>
        </is>
      </c>
      <c r="E92" s="8" t="inlineStr">
        <is>
          <t>—</t>
        </is>
      </c>
      <c r="F92" s="10" t="inlineStr">
        <is>
          <t>是否到场、新人条款</t>
        </is>
      </c>
      <c r="G92" s="8" t="inlineStr">
        <is>
          <t>官网未写明</t>
        </is>
      </c>
      <c r="H92" s="10" t="inlineStr">
        <is>
          <t>查 Registration / Attending / FAQ / Reviewing 子页</t>
        </is>
      </c>
      <c r="I92" s="8" t="inlineStr">
        <is>
          <t>已核实</t>
        </is>
      </c>
      <c r="J92" s="12" t="inlineStr">
        <is>
          <t>https://warwick.ac.uk/fac/sci/dcs/aamas2027/</t>
        </is>
      </c>
    </row>
    <row r="93" ht="24" customHeight="1">
      <c r="A93" s="8" t="n">
        <v>49</v>
      </c>
      <c r="B93" s="9" t="inlineStr">
        <is>
          <t>ICRA</t>
        </is>
      </c>
      <c r="C93" s="8" t="inlineStr">
        <is>
          <t>B</t>
        </is>
      </c>
      <c r="D93" s="8" t="inlineStr">
        <is>
          <t>已截止</t>
        </is>
      </c>
      <c r="E93" s="8" t="inlineStr">
        <is>
          <t>—</t>
        </is>
      </c>
      <c r="F93" s="10" t="inlineStr">
        <is>
          <t>新人条款</t>
        </is>
      </c>
      <c r="G93" s="8" t="inlineStr">
        <is>
          <t>官网未写明</t>
        </is>
      </c>
      <c r="H93" s="10" t="inlineStr">
        <is>
          <t>查 Registration / Attending / FAQ / Reviewing 子页</t>
        </is>
      </c>
      <c r="I93" s="8" t="inlineStr">
        <is>
          <t>已核实</t>
        </is>
      </c>
      <c r="J93" s="12" t="inlineStr">
        <is>
          <t>https://2027.ieee-icra.org/</t>
        </is>
      </c>
    </row>
    <row r="94" ht="24" customHeight="1">
      <c r="A94" s="8" t="n">
        <v>53</v>
      </c>
      <c r="B94" s="9" t="inlineStr">
        <is>
          <t>DCC</t>
        </is>
      </c>
      <c r="C94" s="8" t="inlineStr">
        <is>
          <t>B</t>
        </is>
      </c>
      <c r="D94" s="8" t="inlineStr">
        <is>
          <t>已截止</t>
        </is>
      </c>
      <c r="E94" s="8" t="inlineStr">
        <is>
          <t>—</t>
        </is>
      </c>
      <c r="F94" s="10" t="inlineStr">
        <is>
          <t>是否到场</t>
        </is>
      </c>
      <c r="G94" s="8" t="inlineStr">
        <is>
          <t>官网未写明</t>
        </is>
      </c>
      <c r="H94" s="10" t="inlineStr">
        <is>
          <t>查 Registration / Attending / FAQ / Reviewing 子页</t>
        </is>
      </c>
      <c r="I94" s="8" t="inlineStr">
        <is>
          <t>已核实</t>
        </is>
      </c>
      <c r="J94" s="12" t="inlineStr">
        <is>
          <t>https://datacompressionconference.org/</t>
        </is>
      </c>
    </row>
    <row r="95" ht="24" customHeight="1">
      <c r="A95" s="8" t="n">
        <v>67</v>
      </c>
      <c r="B95" s="9" t="inlineStr">
        <is>
          <t>CIDR</t>
        </is>
      </c>
      <c r="C95" s="8" t="inlineStr">
        <is>
          <t>B</t>
        </is>
      </c>
      <c r="D95" s="8" t="inlineStr">
        <is>
          <t>已截止</t>
        </is>
      </c>
      <c r="E95" s="8" t="inlineStr">
        <is>
          <t>—</t>
        </is>
      </c>
      <c r="F95" s="10" t="inlineStr">
        <is>
          <t>是否到场</t>
        </is>
      </c>
      <c r="G95" s="8" t="inlineStr">
        <is>
          <t>官网未写明</t>
        </is>
      </c>
      <c r="H95" s="10" t="inlineStr">
        <is>
          <t>查 Registration / Attending / FAQ / Reviewing 子页</t>
        </is>
      </c>
      <c r="I95" s="8" t="inlineStr">
        <is>
          <t>已核实</t>
        </is>
      </c>
      <c r="J95" s="12" t="inlineStr">
        <is>
          <t>https://www.cidrdb.org/cidr2027/</t>
        </is>
      </c>
    </row>
    <row r="96" ht="24" customHeight="1">
      <c r="A96" s="8" t="n">
        <v>76</v>
      </c>
      <c r="B96" s="9" t="inlineStr">
        <is>
          <t>DATE</t>
        </is>
      </c>
      <c r="C96" s="8" t="inlineStr">
        <is>
          <t>B</t>
        </is>
      </c>
      <c r="D96" s="8" t="inlineStr">
        <is>
          <t>已截止</t>
        </is>
      </c>
      <c r="E96" s="8" t="inlineStr">
        <is>
          <t>—</t>
        </is>
      </c>
      <c r="F96" s="10" t="inlineStr">
        <is>
          <t>是否到场</t>
        </is>
      </c>
      <c r="G96" s="8" t="inlineStr">
        <is>
          <t>官网未写明</t>
        </is>
      </c>
      <c r="H96" s="10" t="inlineStr">
        <is>
          <t>查 Registration / Attending / FAQ / Reviewing 子页</t>
        </is>
      </c>
      <c r="I96" s="8" t="inlineStr">
        <is>
          <t>已核实</t>
        </is>
      </c>
      <c r="J96" s="12" t="inlineStr">
        <is>
          <t>https://www.date-conference.com/date-2027-call-papers</t>
        </is>
      </c>
    </row>
    <row r="97" ht="24" customHeight="1">
      <c r="A97" s="8" t="n">
        <v>78</v>
      </c>
      <c r="B97" s="9" t="inlineStr">
        <is>
          <t>HiPEAC</t>
        </is>
      </c>
      <c r="C97" s="8" t="inlineStr">
        <is>
          <t>B</t>
        </is>
      </c>
      <c r="D97" s="8" t="inlineStr">
        <is>
          <t>已截止</t>
        </is>
      </c>
      <c r="E97" s="8" t="inlineStr">
        <is>
          <t>—</t>
        </is>
      </c>
      <c r="F97" s="10" t="inlineStr">
        <is>
          <t>是否到场</t>
        </is>
      </c>
      <c r="G97" s="8" t="inlineStr">
        <is>
          <t>官网未写明</t>
        </is>
      </c>
      <c r="H97" s="10" t="inlineStr">
        <is>
          <t>查 Registration / Attending / FAQ / Reviewing 子页</t>
        </is>
      </c>
      <c r="I97" s="8" t="inlineStr">
        <is>
          <t>已核实</t>
        </is>
      </c>
      <c r="J97" s="12" t="inlineStr">
        <is>
          <t>https://www.hipeac.net/2027/glasgow/#/call-for-papers/</t>
        </is>
      </c>
    </row>
    <row r="98" ht="24" customHeight="1">
      <c r="A98" s="8" t="n">
        <v>81</v>
      </c>
      <c r="B98" s="9" t="inlineStr">
        <is>
          <t>IEEE/ACM CGO</t>
        </is>
      </c>
      <c r="C98" s="8" t="inlineStr">
        <is>
          <t>B</t>
        </is>
      </c>
      <c r="D98" s="8" t="inlineStr">
        <is>
          <t>已截止</t>
        </is>
      </c>
      <c r="E98" s="8" t="inlineStr">
        <is>
          <t>—</t>
        </is>
      </c>
      <c r="F98" s="10" t="inlineStr">
        <is>
          <t>是否到场、新人条款</t>
        </is>
      </c>
      <c r="G98" s="8" t="inlineStr">
        <is>
          <t>官网未写明</t>
        </is>
      </c>
      <c r="H98" s="10" t="inlineStr">
        <is>
          <t>查 Registration / Attending / FAQ / Reviewing 子页</t>
        </is>
      </c>
      <c r="I98" s="8" t="inlineStr">
        <is>
          <t>已核实</t>
        </is>
      </c>
      <c r="J98" s="12" t="inlineStr">
        <is>
          <t>https://conf.researchr.org/home/cgo-2027</t>
        </is>
      </c>
    </row>
    <row r="99" ht="24" customHeight="1">
      <c r="A99" s="8" t="n">
        <v>88</v>
      </c>
      <c r="B99" s="9" t="inlineStr">
        <is>
          <t>GROUP</t>
        </is>
      </c>
      <c r="C99" s="8" t="inlineStr">
        <is>
          <t>B</t>
        </is>
      </c>
      <c r="D99" s="8" t="inlineStr">
        <is>
          <t>已截止</t>
        </is>
      </c>
      <c r="E99" s="8" t="inlineStr">
        <is>
          <t>—</t>
        </is>
      </c>
      <c r="F99" s="10" t="inlineStr">
        <is>
          <t>是否到场、新人条款</t>
        </is>
      </c>
      <c r="G99" s="8" t="inlineStr">
        <is>
          <t>官网未写明</t>
        </is>
      </c>
      <c r="H99" s="10" t="inlineStr">
        <is>
          <t>查 Registration / Attending / FAQ / Reviewing 子页</t>
        </is>
      </c>
      <c r="I99" s="8" t="inlineStr">
        <is>
          <t>已核实</t>
        </is>
      </c>
      <c r="J99" s="12" t="inlineStr">
        <is>
          <t>https://group.acm.org/conferences/group27/</t>
        </is>
      </c>
    </row>
    <row r="100" ht="24" customHeight="1">
      <c r="A100" s="8" t="n">
        <v>116</v>
      </c>
      <c r="B100" s="9" t="inlineStr">
        <is>
          <t>SANER</t>
        </is>
      </c>
      <c r="C100" s="8" t="inlineStr">
        <is>
          <t>B</t>
        </is>
      </c>
      <c r="D100" s="8" t="inlineStr">
        <is>
          <t>已截止</t>
        </is>
      </c>
      <c r="E100" s="8" t="inlineStr">
        <is>
          <t>—</t>
        </is>
      </c>
      <c r="F100" s="10" t="inlineStr">
        <is>
          <t>是否到场、新人条款</t>
        </is>
      </c>
      <c r="G100" s="8" t="inlineStr">
        <is>
          <t>官网未写明</t>
        </is>
      </c>
      <c r="H100" s="10" t="inlineStr">
        <is>
          <t>查 Registration / Attending / FAQ / Reviewing 子页</t>
        </is>
      </c>
      <c r="I100" s="8" t="inlineStr">
        <is>
          <t>已核实</t>
        </is>
      </c>
      <c r="J100" s="12" t="inlineStr">
        <is>
          <t>https://conf.researchr.org/home/saner-2027</t>
        </is>
      </c>
    </row>
    <row r="101" ht="24" customHeight="1">
      <c r="A101" s="8" t="n">
        <v>117</v>
      </c>
      <c r="B101" s="9" t="inlineStr">
        <is>
          <t>VMCAI</t>
        </is>
      </c>
      <c r="C101" s="8" t="inlineStr">
        <is>
          <t>B</t>
        </is>
      </c>
      <c r="D101" s="8" t="inlineStr">
        <is>
          <t>已截止</t>
        </is>
      </c>
      <c r="E101" s="8" t="inlineStr">
        <is>
          <t>—</t>
        </is>
      </c>
      <c r="F101" s="10" t="inlineStr">
        <is>
          <t>新人条款</t>
        </is>
      </c>
      <c r="G101" s="8" t="inlineStr">
        <is>
          <t>官网未写明</t>
        </is>
      </c>
      <c r="H101" s="10" t="inlineStr">
        <is>
          <t>查 Registration / Attending / FAQ / Reviewing 子页</t>
        </is>
      </c>
      <c r="I101" s="8" t="inlineStr">
        <is>
          <t>已核实</t>
        </is>
      </c>
      <c r="J101" s="12" t="inlineStr">
        <is>
          <t>https://conf.researchr.org/home/VMCAI-2027</t>
        </is>
      </c>
    </row>
    <row r="102" ht="24" customHeight="1">
      <c r="A102" s="8" t="n">
        <v>132</v>
      </c>
      <c r="B102" s="9" t="inlineStr">
        <is>
          <t>MMM</t>
        </is>
      </c>
      <c r="C102" s="8" t="inlineStr">
        <is>
          <t>C</t>
        </is>
      </c>
      <c r="D102" s="8" t="inlineStr">
        <is>
          <t>已截止</t>
        </is>
      </c>
      <c r="E102" s="8" t="inlineStr">
        <is>
          <t>—</t>
        </is>
      </c>
      <c r="F102" s="10" t="inlineStr">
        <is>
          <t>是否到场、新人条款</t>
        </is>
      </c>
      <c r="G102" s="8" t="inlineStr">
        <is>
          <t>官网未写明</t>
        </is>
      </c>
      <c r="H102" s="10" t="inlineStr">
        <is>
          <t>查 Registration / Attending / FAQ / Reviewing 子页</t>
        </is>
      </c>
      <c r="I102" s="8" t="inlineStr">
        <is>
          <t>已核实</t>
        </is>
      </c>
      <c r="J102" s="12" t="inlineStr">
        <is>
          <t>https://www.mmm2027.net/</t>
        </is>
      </c>
    </row>
    <row r="103" ht="24" customHeight="1">
      <c r="A103" s="8" t="n">
        <v>142</v>
      </c>
      <c r="B103" s="9" t="inlineStr">
        <is>
          <t>ISPD</t>
        </is>
      </c>
      <c r="C103" s="8" t="inlineStr">
        <is>
          <t>C</t>
        </is>
      </c>
      <c r="D103" s="8" t="inlineStr">
        <is>
          <t>已截止</t>
        </is>
      </c>
      <c r="E103" s="8" t="inlineStr">
        <is>
          <t>—</t>
        </is>
      </c>
      <c r="F103" s="10" t="inlineStr">
        <is>
          <t>新人条款</t>
        </is>
      </c>
      <c r="G103" s="8" t="inlineStr">
        <is>
          <t>官网未写明</t>
        </is>
      </c>
      <c r="H103" s="10" t="inlineStr">
        <is>
          <t>查 Registration / Attending / FAQ / Reviewing 子页</t>
        </is>
      </c>
      <c r="I103" s="8" t="inlineStr">
        <is>
          <t>已核实</t>
        </is>
      </c>
      <c r="J103" s="12" t="inlineStr">
        <is>
          <t>https://ispd.cc/ispd2027/</t>
        </is>
      </c>
    </row>
    <row r="104" ht="24" customHeight="1">
      <c r="A104" s="8" t="n">
        <v>164</v>
      </c>
      <c r="B104" s="9" t="inlineStr">
        <is>
          <t>IFIP WG 11.9</t>
        </is>
      </c>
      <c r="C104" s="8" t="inlineStr">
        <is>
          <t>C</t>
        </is>
      </c>
      <c r="D104" s="8" t="inlineStr">
        <is>
          <t>已截止</t>
        </is>
      </c>
      <c r="E104" s="8" t="inlineStr">
        <is>
          <t>—</t>
        </is>
      </c>
      <c r="F104" s="10" t="inlineStr">
        <is>
          <t>是否到场</t>
        </is>
      </c>
      <c r="G104" s="8" t="inlineStr">
        <is>
          <t>官网未写明</t>
        </is>
      </c>
      <c r="H104" s="10" t="inlineStr">
        <is>
          <t>查 Registration / Attending / FAQ / Reviewing 子页</t>
        </is>
      </c>
      <c r="I104" s="8" t="inlineStr">
        <is>
          <t>已核实</t>
        </is>
      </c>
      <c r="J104" s="12" t="inlineStr">
        <is>
          <t>https://www.ifip119.org/Conferences/</t>
        </is>
      </c>
    </row>
    <row r="105" ht="24" customHeight="1">
      <c r="A105" s="8" t="n">
        <v>190</v>
      </c>
      <c r="B105" s="9" t="inlineStr">
        <is>
          <t>CHIIR</t>
        </is>
      </c>
      <c r="C105" s="8" t="inlineStr">
        <is>
          <t>N</t>
        </is>
      </c>
      <c r="D105" s="8" t="inlineStr">
        <is>
          <t>已截止</t>
        </is>
      </c>
      <c r="E105" s="8" t="inlineStr">
        <is>
          <t>—</t>
        </is>
      </c>
      <c r="F105" s="10" t="inlineStr">
        <is>
          <t>是否到场</t>
        </is>
      </c>
      <c r="G105" s="8" t="inlineStr">
        <is>
          <t>官网未写明</t>
        </is>
      </c>
      <c r="H105" s="10" t="inlineStr">
        <is>
          <t>查 Registration / Attending / FAQ / Reviewing 子页</t>
        </is>
      </c>
      <c r="I105" s="8" t="inlineStr">
        <is>
          <t>已核实</t>
        </is>
      </c>
      <c r="J105" s="12" t="inlineStr">
        <is>
          <t>https://chiir2027.github.io/</t>
        </is>
      </c>
    </row>
    <row r="106" ht="24" customHeight="1">
      <c r="A106" s="8" t="n">
        <v>192</v>
      </c>
      <c r="B106" s="9" t="inlineStr">
        <is>
          <t>HICSS</t>
        </is>
      </c>
      <c r="C106" s="8" t="inlineStr">
        <is>
          <t>N</t>
        </is>
      </c>
      <c r="D106" s="8" t="inlineStr">
        <is>
          <t>已截止</t>
        </is>
      </c>
      <c r="E106" s="8" t="inlineStr">
        <is>
          <t>—</t>
        </is>
      </c>
      <c r="F106" s="10" t="inlineStr">
        <is>
          <t>新人条款</t>
        </is>
      </c>
      <c r="G106" s="8" t="inlineStr">
        <is>
          <t>官网未写明</t>
        </is>
      </c>
      <c r="H106" s="10" t="inlineStr">
        <is>
          <t>查 Registration / Attending / FAQ / Reviewing 子页</t>
        </is>
      </c>
      <c r="I106" s="8" t="inlineStr">
        <is>
          <t>已核实</t>
        </is>
      </c>
      <c r="J106" s="12" t="inlineStr">
        <is>
          <t>https://hicss.hawaii.edu/</t>
        </is>
      </c>
    </row>
    <row r="107" ht="24" customHeight="1">
      <c r="A107" s="8" t="n">
        <v>55</v>
      </c>
      <c r="B107" s="9" t="inlineStr">
        <is>
          <t>Eurographics</t>
        </is>
      </c>
      <c r="C107" s="8" t="inlineStr">
        <is>
          <t>B</t>
        </is>
      </c>
      <c r="D107" s="8" t="inlineStr">
        <is>
          <t>已截止</t>
        </is>
      </c>
      <c r="E107" s="8" t="inlineStr">
        <is>
          <t>—</t>
        </is>
      </c>
      <c r="F107" s="10" t="inlineStr">
        <is>
          <t>是否到场、新人条款</t>
        </is>
      </c>
      <c r="G107" s="8" t="inlineStr">
        <is>
          <t>官网未查到</t>
        </is>
      </c>
      <c r="H107" s="10" t="inlineStr">
        <is>
          <t>换入口重查（官网 / dblp / 主办方页面）</t>
        </is>
      </c>
      <c r="I107" s="8" t="inlineStr">
        <is>
          <t>未找到</t>
        </is>
      </c>
      <c r="J107" s="12" t="inlineStr">
        <is>
          <t>https://eg2027.isti.cnr.it/</t>
        </is>
      </c>
    </row>
    <row r="108" ht="24" customHeight="1">
      <c r="A108" s="8" t="n">
        <v>65</v>
      </c>
      <c r="B108" s="9" t="inlineStr">
        <is>
          <t>ICALP</t>
        </is>
      </c>
      <c r="C108" s="8" t="inlineStr">
        <is>
          <t>B</t>
        </is>
      </c>
      <c r="D108" s="8" t="inlineStr">
        <is>
          <t>已截止</t>
        </is>
      </c>
      <c r="E108" s="8" t="inlineStr">
        <is>
          <t>—</t>
        </is>
      </c>
      <c r="F108" s="10" t="inlineStr">
        <is>
          <t>是否到场、新人条款</t>
        </is>
      </c>
      <c r="G108" s="8" t="inlineStr">
        <is>
          <t>等官方发布</t>
        </is>
      </c>
      <c r="H108" s="10" t="inlineStr">
        <is>
          <t>2027 CFP 未出，发布后重查；不要沿用上届</t>
        </is>
      </c>
      <c r="I108" s="8" t="inlineStr">
        <is>
          <t>2027CFP未发布</t>
        </is>
      </c>
      <c r="J108" s="12" t="inlineStr">
        <is>
          <t>https://icalp.uj.edu.pl/</t>
        </is>
      </c>
    </row>
    <row r="109" ht="24" customHeight="1">
      <c r="A109" s="8" t="n">
        <v>70</v>
      </c>
      <c r="B109" s="9" t="inlineStr">
        <is>
          <t>EDBT</t>
        </is>
      </c>
      <c r="C109" s="8" t="inlineStr">
        <is>
          <t>B</t>
        </is>
      </c>
      <c r="D109" s="8" t="inlineStr">
        <is>
          <t>已截止</t>
        </is>
      </c>
      <c r="E109" s="8" t="inlineStr">
        <is>
          <t>—</t>
        </is>
      </c>
      <c r="F109" s="10" t="inlineStr">
        <is>
          <t>是否到场、新人条款</t>
        </is>
      </c>
      <c r="G109" s="8" t="inlineStr">
        <is>
          <t>等官方发布</t>
        </is>
      </c>
      <c r="H109" s="10" t="inlineStr">
        <is>
          <t>2027 CFP 未出，发布后重查；不要沿用上届</t>
        </is>
      </c>
      <c r="I109" s="8" t="inlineStr">
        <is>
          <t>2027CFP未发布</t>
        </is>
      </c>
      <c r="J109" s="12" t="inlineStr">
        <is>
          <t>https://edbticdt2027.github.io/</t>
        </is>
      </c>
    </row>
    <row r="110" ht="24" customHeight="1">
      <c r="A110" s="8" t="n">
        <v>72</v>
      </c>
      <c r="B110" s="9" t="inlineStr">
        <is>
          <t>ICDT</t>
        </is>
      </c>
      <c r="C110" s="8" t="inlineStr">
        <is>
          <t>B</t>
        </is>
      </c>
      <c r="D110" s="8" t="inlineStr">
        <is>
          <t>已截止</t>
        </is>
      </c>
      <c r="E110" s="8" t="inlineStr">
        <is>
          <t>—</t>
        </is>
      </c>
      <c r="F110" s="10" t="inlineStr">
        <is>
          <t>是否到场、新人条款</t>
        </is>
      </c>
      <c r="G110" s="8" t="inlineStr">
        <is>
          <t>等官方发布</t>
        </is>
      </c>
      <c r="H110" s="10" t="inlineStr">
        <is>
          <t>2027 CFP 未出，发布后重查；不要沿用上届</t>
        </is>
      </c>
      <c r="I110" s="8" t="inlineStr">
        <is>
          <t>2027CFP未发布</t>
        </is>
      </c>
      <c r="J110" s="12" t="inlineStr">
        <is>
          <t>https://edbticdt2027.github.io/</t>
        </is>
      </c>
    </row>
    <row r="111" ht="24" customHeight="1">
      <c r="A111" s="8" t="n">
        <v>109</v>
      </c>
      <c r="B111" s="9" t="inlineStr">
        <is>
          <t>ETAPS</t>
        </is>
      </c>
      <c r="C111" s="8" t="inlineStr">
        <is>
          <t>B</t>
        </is>
      </c>
      <c r="D111" s="8" t="inlineStr">
        <is>
          <t>已截止</t>
        </is>
      </c>
      <c r="E111" s="8" t="inlineStr">
        <is>
          <t>—</t>
        </is>
      </c>
      <c r="F111" s="10" t="inlineStr">
        <is>
          <t>是否到场、新人条款</t>
        </is>
      </c>
      <c r="G111" s="8" t="inlineStr">
        <is>
          <t>等官方发布</t>
        </is>
      </c>
      <c r="H111" s="10" t="inlineStr">
        <is>
          <t>2027 CFP 未出，发布后重查；不要沿用上届</t>
        </is>
      </c>
      <c r="I111" s="8" t="inlineStr">
        <is>
          <t>2027CFP未发布</t>
        </is>
      </c>
      <c r="J111" s="12" t="inlineStr">
        <is>
          <t>https://etaps.org/2027</t>
        </is>
      </c>
    </row>
    <row r="112" ht="24" customHeight="1">
      <c r="A112" s="8" t="n">
        <v>119</v>
      </c>
      <c r="B112" s="9" t="inlineStr">
        <is>
          <t>ALT</t>
        </is>
      </c>
      <c r="C112" s="8" t="inlineStr">
        <is>
          <t>C</t>
        </is>
      </c>
      <c r="D112" s="8" t="inlineStr">
        <is>
          <t>已截止</t>
        </is>
      </c>
      <c r="E112" s="8" t="inlineStr">
        <is>
          <t>—</t>
        </is>
      </c>
      <c r="F112" s="10" t="inlineStr">
        <is>
          <t>是否到场、新人条款</t>
        </is>
      </c>
      <c r="G112" s="8" t="inlineStr">
        <is>
          <t>等官方发布</t>
        </is>
      </c>
      <c r="H112" s="10" t="inlineStr">
        <is>
          <t>2027 CFP 未出，发布后重查；不要沿用上届</t>
        </is>
      </c>
      <c r="I112" s="8" t="inlineStr">
        <is>
          <t>2027CFP未发布</t>
        </is>
      </c>
      <c r="J112" s="12" t="inlineStr">
        <is>
          <t>https://algorithmiclearningtheory.org/alt2027/</t>
        </is>
      </c>
    </row>
    <row r="113" ht="24" customHeight="1">
      <c r="A113" s="8" t="n">
        <v>177</v>
      </c>
      <c r="B113" s="9" t="inlineStr">
        <is>
          <t>CVC</t>
        </is>
      </c>
      <c r="C113" s="8" t="inlineStr">
        <is>
          <t>N</t>
        </is>
      </c>
      <c r="D113" s="8" t="inlineStr">
        <is>
          <t>已截止</t>
        </is>
      </c>
      <c r="E113" s="8" t="inlineStr">
        <is>
          <t>—</t>
        </is>
      </c>
      <c r="F113" s="10" t="inlineStr">
        <is>
          <t>是否到场、新人条款</t>
        </is>
      </c>
      <c r="G113" s="8" t="inlineStr">
        <is>
          <t>等官方发布</t>
        </is>
      </c>
      <c r="H113" s="10" t="inlineStr">
        <is>
          <t>2027 CFP 未出，发布后重查；不要沿用上届</t>
        </is>
      </c>
      <c r="I113" s="8" t="inlineStr">
        <is>
          <t>2027CFP未发布</t>
        </is>
      </c>
      <c r="J113" s="12" t="inlineStr">
        <is>
          <t>https://saiconference.com/CVC</t>
        </is>
      </c>
    </row>
  </sheetData>
  <autoFilter ref="A1:J113"/>
  <conditionalFormatting sqref="G2:G113">
    <cfRule type="cellIs" priority="1" operator="equal" dxfId="7">
      <formula>"官网未写明"</formula>
    </cfRule>
    <cfRule type="cellIs" priority="2" operator="equal" dxfId="13">
      <formula>"官网未查到"</formula>
    </cfRule>
    <cfRule type="cellIs" priority="3" operator="equal" dxfId="8">
      <formula>"等官方发布"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4" customWidth="1" min="3" max="3"/>
    <col width="14" customWidth="1" min="4" max="4"/>
    <col width="20" customWidth="1" min="5" max="5"/>
    <col width="46" customWidth="1" min="6" max="6"/>
    <col width="13" customWidth="1" min="7" max="7"/>
  </cols>
  <sheetData>
    <row r="1">
      <c r="A1" s="16" t="inlineStr">
        <is>
          <t>ACL Rolling Review（ARR）滚动审稿轮次</t>
        </is>
      </c>
    </row>
    <row r="2">
      <c r="A2" s="17" t="inlineStr">
        <is>
          <t>ARR 自 2025 年 5 月起改为 10 周一轮、每年约 5 轮，投稿日不再固定为每月某日。 数据源：https://aclrollingreview.org/dates（核对于 2026-10-25）</t>
        </is>
      </c>
    </row>
    <row r="4" ht="32" customHeight="1">
      <c r="A4" s="1" t="inlineStr">
        <is>
          <t>Cycle</t>
        </is>
      </c>
      <c r="B4" s="1" t="inlineStr">
        <is>
          <t>投稿截止</t>
        </is>
      </c>
      <c r="C4" s="1" t="inlineStr">
        <is>
          <t>审稿人注册</t>
        </is>
      </c>
      <c r="D4" s="1" t="inlineStr">
        <is>
          <t>审稿意见截止</t>
        </is>
      </c>
      <c r="E4" s="1" t="inlineStr">
        <is>
          <t>作者回复期</t>
        </is>
      </c>
      <c r="F4" s="1" t="inlineStr">
        <is>
          <t>Meta-review 释出</t>
        </is>
      </c>
      <c r="G4" s="1" t="inlineStr">
        <is>
          <t>Cycle 结束</t>
        </is>
      </c>
    </row>
    <row r="5" ht="24" customHeight="1">
      <c r="A5" s="18" t="inlineStr">
        <is>
          <t>March 2026</t>
        </is>
      </c>
      <c r="B5" s="19" t="n">
        <v>46097</v>
      </c>
      <c r="C5" s="19" t="n">
        <v>46099</v>
      </c>
      <c r="D5" s="19" t="n">
        <v>46132</v>
      </c>
      <c r="E5" s="20" t="inlineStr">
        <is>
          <t>04-28 → 05-04</t>
        </is>
      </c>
      <c r="F5" s="19" t="n">
        <v>46163</v>
      </c>
      <c r="G5" s="19" t="n">
        <v>46166</v>
      </c>
    </row>
    <row r="6" ht="24" customHeight="1">
      <c r="A6" s="18" t="inlineStr">
        <is>
          <t>May 2026</t>
        </is>
      </c>
      <c r="B6" s="19" t="n">
        <v>46167</v>
      </c>
      <c r="C6" s="19" t="n">
        <v>46169</v>
      </c>
      <c r="D6" s="19" t="n">
        <v>46205</v>
      </c>
      <c r="E6" s="20" t="inlineStr">
        <is>
          <t>07-08 → 07-14</t>
        </is>
      </c>
      <c r="F6" s="19" t="n">
        <v>46233</v>
      </c>
      <c r="G6" s="19" t="n">
        <v>46236</v>
      </c>
    </row>
    <row r="7" ht="24" customHeight="1">
      <c r="A7" s="18" t="inlineStr">
        <is>
          <t>August 2026</t>
        </is>
      </c>
      <c r="B7" s="19" t="n">
        <v>46237</v>
      </c>
      <c r="C7" s="19" t="n">
        <v>46239</v>
      </c>
      <c r="D7" s="19" t="n">
        <v>46272</v>
      </c>
      <c r="E7" s="20" t="inlineStr">
        <is>
          <t>09-14 → 09-24</t>
        </is>
      </c>
      <c r="F7" s="19" t="n">
        <v>46303</v>
      </c>
      <c r="G7" s="19" t="n">
        <v>46306</v>
      </c>
    </row>
    <row r="8" ht="24" customHeight="1">
      <c r="A8" s="18" t="inlineStr">
        <is>
          <t>October 2026</t>
        </is>
      </c>
      <c r="B8" s="19" t="n">
        <v>46307</v>
      </c>
      <c r="C8" s="19" t="n">
        <v>46309</v>
      </c>
      <c r="D8" s="19" t="n">
        <v>46342</v>
      </c>
      <c r="E8" s="20" t="inlineStr">
        <is>
          <t>11-24 → 11-30</t>
        </is>
      </c>
      <c r="F8" s="19" t="n">
        <v>46373</v>
      </c>
      <c r="G8" s="19" t="n">
        <v>46376</v>
      </c>
    </row>
    <row r="10">
      <c r="A10" s="21">
        <f>IF(COUNTIF($B$5:$B$8,"&gt;="&amp;TODAY())=0,"⚠ 表内各 ARR cycle 的投稿日均已过，请核对 https://aclrollingreview.org/dates 后更新 arr_cycles.json 并重新生成","最近一轮 ARR 投稿截止："&amp;TEXT(SMALL($B$5:$B$8,COUNTIF($B$5:$B$8,"&lt;"&amp;TODAY())+1),"yyyy-mm-dd")&amp;"（高亮行）")</f>
        <v/>
      </c>
    </row>
    <row r="11" ht="26" customHeight="1">
      <c r="A11" s="22" t="inlineStr">
        <is>
          <t>官网提到 ACL 2027 对应 cycle 的投稿截止在 2027 年 1 月，但完整日期尚未列出；建议每月核对 aclrollingreview.org/dates。</t>
        </is>
      </c>
    </row>
    <row r="13">
      <c r="A13" s="23" t="inlineStr">
        <is>
          <t>ARR 路径与可 commit 会议（2027 届）</t>
        </is>
      </c>
    </row>
    <row r="14">
      <c r="A14" s="1" t="inlineStr">
        <is>
          <t>会议</t>
        </is>
      </c>
      <c r="B14" s="1" t="inlineStr">
        <is>
          <t>CCF</t>
        </is>
      </c>
      <c r="C14" s="1" t="inlineStr">
        <is>
          <t>会期 / 地点</t>
        </is>
      </c>
      <c r="D14" s="1" t="inlineStr">
        <is>
          <t>路径</t>
        </is>
      </c>
      <c r="E14" s="1" t="inlineStr">
        <is>
          <t>最近一轮截稿(北京)</t>
        </is>
      </c>
      <c r="F14" s="1" t="inlineStr">
        <is>
          <t>说明</t>
        </is>
      </c>
    </row>
    <row r="15" ht="28" customHeight="1">
      <c r="A15" s="8" t="inlineStr">
        <is>
          <t>ACL</t>
        </is>
      </c>
      <c r="B15" s="8" t="inlineStr">
        <is>
          <t>A</t>
        </is>
      </c>
      <c r="C15" s="10" t="inlineStr">
        <is>
          <t>August 17-22, 2027 | Kyoto, Japan</t>
        </is>
      </c>
      <c r="D15" s="12" t="inlineStr">
        <is>
          <t>ARR Submission</t>
        </is>
      </c>
      <c r="E15" s="8" t="inlineStr">
        <is>
          <t>2027-01-05 19:59</t>
        </is>
      </c>
      <c r="F15" s="10" t="inlineStr">
        <is>
          <t>先投 ARR 拿 meta-review，再 commit 到本会，非直接投稿</t>
        </is>
      </c>
    </row>
    <row r="16" ht="28" customHeight="1">
      <c r="A16" s="8" t="inlineStr">
        <is>
          <t>COLING</t>
        </is>
      </c>
      <c r="B16" s="8" t="inlineStr">
        <is>
          <t>B</t>
        </is>
      </c>
      <c r="C16" s="10" t="inlineStr">
        <is>
          <t>May 9-14, 2027 | Macau SAR, China</t>
        </is>
      </c>
      <c r="D16" s="12" t="inlineStr">
        <is>
          <t>COLING commitment after ARR meta-reviews; reviewed papers only</t>
        </is>
      </c>
      <c r="E16" s="8" t="inlineStr">
        <is>
          <t>2026-12-24 19:59</t>
        </is>
      </c>
      <c r="F16" s="10" t="inlineStr">
        <is>
          <t>先投 ARR 拿 meta-review，再 commit 到本会，非直接投稿</t>
        </is>
      </c>
    </row>
    <row r="17" ht="28" customHeight="1">
      <c r="A17" s="8" t="inlineStr">
        <is>
          <t>NAACL</t>
        </is>
      </c>
      <c r="B17" s="8" t="inlineStr">
        <is>
          <t>B</t>
        </is>
      </c>
      <c r="C17" s="10" t="inlineStr">
        <is>
          <t>June 1-5, 2027 | San Francisco, California, USA</t>
        </is>
      </c>
      <c r="D17" s="12" t="inlineStr">
        <is>
          <t>NAACL commitment after ARR meta-reviews; reviewed papers only</t>
        </is>
      </c>
      <c r="E17" s="8" t="inlineStr">
        <is>
          <t>2026-12-24 19:59</t>
        </is>
      </c>
      <c r="F17" s="10" t="inlineStr">
        <is>
          <t>先投 ARR 拿 meta-review，再 commit 到本会，非直接投稿</t>
        </is>
      </c>
    </row>
    <row r="18" ht="28" customHeight="1">
      <c r="A18" s="8" t="inlineStr">
        <is>
          <t>EACL</t>
        </is>
      </c>
      <c r="B18" s="8" t="inlineStr">
        <is>
          <t>N</t>
        </is>
      </c>
      <c r="C18" s="10" t="inlineStr">
        <is>
          <t>March 9-14, 2027 | Athens, Greece</t>
        </is>
      </c>
      <c r="D18" s="12" t="inlineStr">
        <is>
          <t>EACL commitment after ARR meta-reviews; reviewed papers only</t>
        </is>
      </c>
      <c r="E18" s="8" t="inlineStr">
        <is>
          <t>2026-10-12 19:59</t>
        </is>
      </c>
      <c r="F18" s="10" t="inlineStr">
        <is>
          <t>先投 ARR 拿 meta-review，再 commit 到本会，非直接投稿</t>
        </is>
      </c>
    </row>
  </sheetData>
  <mergeCells count="2">
    <mergeCell ref="A11:G11"/>
    <mergeCell ref="A10:G10"/>
  </mergeCells>
  <conditionalFormatting sqref="A5:G8">
    <cfRule type="expression" priority="1" dxfId="14">
      <formula>AND($B5&gt;=TODAY(),COUNTIFS($B$5:$B$8,"&gt;="&amp;TODAY(),$B$5:$B$8,"&lt;"&amp;$B5)=0)</formula>
    </cfRule>
    <cfRule type="expression" priority="2" dxfId="15">
      <formula>$B5&lt;TODAY()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4" t="inlineStr">
        <is>
          <t>CCF 推荐会议 2027 届投稿规划表</t>
        </is>
      </c>
    </row>
    <row r="2">
      <c r="A2" s="25" t="inlineStr">
        <is>
          <t>生成时间 2026-10-25 05:12（北京）　|覆盖 2027 届会议 200 个（A 43 · B 74 · C 58 · N 25）　|　官网已核实 149　未发布 42　未查到 9　|　新人条款：有 79（其中硬性 43）　无 39　CFP未发布 42　未找到 40</t>
        </is>
      </c>
    </row>
    <row r="3">
      <c r="A3" s="26" t="inlineStr">
        <is>
          <t>电脑时区 (UTC±h)</t>
        </is>
      </c>
      <c r="B3" s="27" t="n">
        <v>8</v>
      </c>
    </row>
    <row r="4">
      <c r="A4" s="26" t="inlineStr">
        <is>
          <t>换算后北京时间</t>
        </is>
      </c>
      <c r="B4" s="28">
        <f>TEXT('_轮次'!$A$1,"yyyy-mm-dd hh:mm")&amp;"　← 与北京时间不符就改 B3"</f>
        <v/>
      </c>
    </row>
    <row r="6" ht="32" customHeight="1">
      <c r="A6" s="29" t="inlineStr">
        <is>
          <t>时间口径</t>
        </is>
      </c>
      <c r="B6" s="30" t="inlineStr">
        <is>
          <t>所有截稿、rebuttal、录用通知时间**已统一折算为北京时间（UTC+8）**，不是会议当地时间。本表 148 个会议用 AoE、29 个用 UTC-12，折北京时间需 +20 小时，共 174 个会议的截稿日期因此顺延一天。要对照官网原文时请看「原始时区」列。</t>
        </is>
      </c>
    </row>
    <row r="7" ht="48" customHeight="1">
      <c r="A7" s="29" t="inlineStr">
        <is>
          <t>剩余天数</t>
        </is>
      </c>
      <c r="B7" s="30" t="inlineStr">
        <is>
          <t>「正文截稿 / 状态 / 剩余天数」是公式，打开文件时按电脑当前时间实时计算。Excel 只能读到电脑本地时间，所以先用上方 B3「电脑时区」换算成北京时间再比较——B3 默认 8（北京）；电脑不在北京时区就改成该电脑的 UTC 偏移，如美东填 -4（夏令时）/ -5，B4 会显示换算结果供核对。多轮会议会自动跳到最近一个未过期轮次，摘要截稿、轮次、Rebuttal、录用通知随之切换。「待补清单」里的剩余天数是生成时的快照，仅用于排序。</t>
        </is>
      </c>
    </row>
    <row r="8" ht="32" customHeight="1">
      <c r="A8" s="29" t="inlineStr">
        <is>
          <t>方向标签</t>
        </is>
      </c>
      <c r="B8" s="30" t="inlineStr">
        <is>
          <t>10 个方向对应 CCF 目录的十大领域：人工智能、体系结构/并行/存储、计算机网络、网络与信息安全、软件工程/系统软件、数据库/数据挖掘、计算机科学理论、图形学与多媒体、人机交互与普适计算、交叉/综合/新兴。</t>
        </is>
      </c>
    </row>
    <row r="9" ht="22" customHeight="1">
      <c r="A9" s="29" t="inlineStr">
        <is>
          <t>同名会议</t>
        </is>
      </c>
      <c r="B9" s="30" t="inlineStr">
        <is>
          <t>合并按会议唯一 ID 进行，不按简称。同简称会议中评级高的保留原简称，其余加后缀，如 ACM FSE（软工 A）与 FSE(IACR)（密码学 B）。</t>
        </is>
      </c>
    </row>
    <row r="10" ht="80" customHeight="1">
      <c r="A10" s="29" t="inlineStr">
        <is>
          <t>官网核查列</t>
        </is>
      </c>
      <c r="B10" s="30" t="inlineStr">
        <is>
          <t>【已核实】读到官方 2027 CFP，参会与投稿规则字段来自官方原文。
【2027CFP未发布】官网还没有 2027 的征稿说明——这是当前多数会议的真实状态，不代表信息错误，代表现在查不到。
【官网不可达】会议官网打不开或链接失效。【未找到】官网上没找到对应页面。
【未核查】本轮未覆盖到，字段来自知识补全。</t>
        </is>
      </c>
    </row>
    <row r="11" ht="48" customHeight="1">
      <c r="A11" s="29" t="inlineStr">
        <is>
          <t>置信度</t>
        </is>
      </c>
      <c r="B11" s="30" t="inlineStr">
        <is>
          <t>【高】官网已核实或 ccfddl 官方数据。【中】合理推断，投稿前需复核。【低】沿用上一届口径或推测。
截稿时间另有一层风险：部分 2027 数据是按上届规律外推的（如 SIGMOD 2027 四轮日期与 2026 完全同月同日），官方 CFP 一出就会变。</t>
        </is>
      </c>
    </row>
    <row r="12" ht="22" customHeight="1">
      <c r="A12" s="29" t="inlineStr">
        <is>
          <t>轮次取法</t>
        </is>
      </c>
      <c r="B12" s="30" t="inlineStr">
        <is>
          <t>存在未过期轮次时取最早一个未过期的，否则取最后一轮并标「已截止」。多轮会议（SIGMOD、VLDB 等）的完整轮次已写进「备注」列。</t>
        </is>
      </c>
    </row>
    <row r="13" ht="32" customHeight="1">
      <c r="A13" s="29" t="inlineStr">
        <is>
          <t>ARR 类</t>
        </is>
      </c>
      <c r="B13" s="30" t="inlineStr">
        <is>
          <t>ACL / NAACL / EACL / COLING 走 ACL Rolling Review 滚动审稿，不直接投稿。主表截稿是该会的 commit / submission 节点，真实投稿看 ARR cycle，见「ARR 轮次」表。ARR 日期存于 arr_cycles.json，全部过期时该表顶部会出现提示。</t>
        </is>
      </c>
    </row>
    <row r="14" ht="32" customHeight="1">
      <c r="A14" s="29" t="inlineStr">
        <is>
          <t>作者投稿上限</t>
        </is>
      </c>
      <c r="B14" s="30" t="inlineStr">
        <is>
          <t>主表拆成「投稿上限(篇)」数字列 + 「上限口径」列（每届 / 每轮 / 每年 / 配额制），可直接用数字筛选。按「同一作者在该届的投稿篇数硬性上限」理解，绝大多数会议不设上限，故填「不限」；填「待确认」表示可能有规定但未核实。官方原文写法见「扩展规则」表。表内没有任何编造的数字。</t>
        </is>
      </c>
    </row>
    <row r="15" ht="192" customHeight="1">
      <c r="A15" s="29" t="inlineStr">
        <is>
          <t>新人作者条款</t>
        </is>
      </c>
      <c r="B15" s="30" t="inlineStr">
        <is>
          <t>「新人作者」指三类人，条款各不相同：首次向该会投稿的作者、学生作者、无资深合作者的独立作者。
「新人作者要求」sheet 把条款拆成 6 类逐项核查：审稿义务/互惠审稿（A）、首投配额（B）、是否强制挂资深作者（C）、投稿账号门槛（D，如 OpenReview 新账号须机构邮箱）、学生与新人通道（E，如 SRW / Doctoral Consortium / Junior PC）、费用与资助（F）。
关键：「无专属条款」是查过且确实没有的结论，不是默认值；CFP 未发布的会一律标「CFP未发布」，不冒充「无」。
「对首投的影响」再分三档：有硬性要求（会卡住或拒稿）、只有利好通道（学生 track / 资助）、仅奖项。
D 类账号门槛只认「投稿时」的要求，录用后走出版流程的 ORCID、版权表单不计入，避免虚高。
最容易卡住首投的几条：ICLR 须指定作者审稿≥3 篇否则 desk reject、无合格互惠审稿人限投 1 篇；OOPSLA / POPL 2027 新政要求每篇至少 1 名资深作者注册 reserve reviewer；AISTATS 无四大 ML 会录用记录者限 3 篇、全体作者不合格则仅 1 篇；MobiSys / SenSys 每篇须 1 位按非学生费率注册；CVPR 无机构邮箱的 OpenReview 新账号需等约两周。</t>
        </is>
      </c>
    </row>
    <row r="16" ht="32" customHeight="1">
      <c r="A16" s="29" t="inlineStr">
        <is>
          <t>信息缺口</t>
        </is>
      </c>
      <c r="B16" s="30" t="inlineStr">
        <is>
          <t>共 112 个会议仍有字段待补，见「待补清单」：官网未写明 61、官网未查到 9、等官方发布 42。「等官方发布」的不要用上届口径填，等 CFP 出来再查；其余两类可按「下一步」列重查，结果写入 recheck/ 目录后重新生成即可合并。</t>
        </is>
      </c>
    </row>
    <row r="17" ht="64" customHeight="1">
      <c r="A17" s="29" t="inlineStr">
        <is>
          <t>建议动作</t>
        </is>
      </c>
      <c r="B17" s="30" t="inlineStr">
        <is>
          <t>1) 先按「未截止」+ 剩余天数 ≤90 筛，再按 CCF 评级与方向锁定 15–20 个目标。
2) 「官网核查」为「已核实」的行可直接用；其余投稿前必须点官网复核。
3) 每年 12 月至次年 3 月是 CFP 集中发布期，本表需定期刷新。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201"/>
  <sheetViews>
    <sheetView workbookViewId="0">
      <selection activeCell="A1" sqref="A1"/>
    </sheetView>
  </sheetViews>
  <sheetFormatPr baseColWidth="8" defaultRowHeight="15"/>
  <sheetData>
    <row r="1">
      <c r="A1" s="31">
        <f>NOW()+(8-'读我'!$B$3)/24</f>
        <v/>
      </c>
      <c r="B1" t="inlineStr">
        <is>
          <t>dl1</t>
        </is>
      </c>
      <c r="C1" t="inlineStr">
        <is>
          <t>dl2</t>
        </is>
      </c>
      <c r="D1" t="inlineStr">
        <is>
          <t>dl3</t>
        </is>
      </c>
      <c r="E1" t="inlineStr">
        <is>
          <t>dl4</t>
        </is>
      </c>
      <c r="F1" t="inlineStr">
        <is>
          <t>dl5</t>
        </is>
      </c>
      <c r="G1" t="inlineStr">
        <is>
          <t>dl6</t>
        </is>
      </c>
      <c r="H1" t="inlineStr">
        <is>
          <t>dl7</t>
        </is>
      </c>
      <c r="I1" t="inlineStr">
        <is>
          <t>dl8</t>
        </is>
      </c>
      <c r="J1" t="inlineStr">
        <is>
          <t>dl9</t>
        </is>
      </c>
      <c r="K1" t="inlineStr">
        <is>
          <t>dl10</t>
        </is>
      </c>
      <c r="L1" t="inlineStr">
        <is>
          <t>dl11</t>
        </is>
      </c>
      <c r="M1" t="inlineStr">
        <is>
          <t>dl12</t>
        </is>
      </c>
      <c r="N1" t="inlineStr">
        <is>
          <t>abs1</t>
        </is>
      </c>
      <c r="O1" t="inlineStr">
        <is>
          <t>abs2</t>
        </is>
      </c>
      <c r="P1" t="inlineStr">
        <is>
          <t>abs3</t>
        </is>
      </c>
      <c r="Q1" t="inlineStr">
        <is>
          <t>abs4</t>
        </is>
      </c>
      <c r="R1" t="inlineStr">
        <is>
          <t>abs5</t>
        </is>
      </c>
      <c r="S1" t="inlineStr">
        <is>
          <t>abs6</t>
        </is>
      </c>
      <c r="T1" t="inlineStr">
        <is>
          <t>abs7</t>
        </is>
      </c>
      <c r="U1" t="inlineStr">
        <is>
          <t>abs8</t>
        </is>
      </c>
      <c r="V1" t="inlineStr">
        <is>
          <t>abs9</t>
        </is>
      </c>
      <c r="W1" t="inlineStr">
        <is>
          <t>abs10</t>
        </is>
      </c>
      <c r="X1" t="inlineStr">
        <is>
          <t>abs11</t>
        </is>
      </c>
      <c r="Y1" t="inlineStr">
        <is>
          <t>abs12</t>
        </is>
      </c>
      <c r="Z1" t="inlineStr">
        <is>
          <t>reb1</t>
        </is>
      </c>
      <c r="AA1" t="inlineStr">
        <is>
          <t>reb2</t>
        </is>
      </c>
      <c r="AB1" t="inlineStr">
        <is>
          <t>reb3</t>
        </is>
      </c>
      <c r="AC1" t="inlineStr">
        <is>
          <t>reb4</t>
        </is>
      </c>
      <c r="AD1" t="inlineStr">
        <is>
          <t>reb5</t>
        </is>
      </c>
      <c r="AE1" t="inlineStr">
        <is>
          <t>reb6</t>
        </is>
      </c>
      <c r="AF1" t="inlineStr">
        <is>
          <t>reb7</t>
        </is>
      </c>
      <c r="AG1" t="inlineStr">
        <is>
          <t>reb8</t>
        </is>
      </c>
      <c r="AH1" t="inlineStr">
        <is>
          <t>reb9</t>
        </is>
      </c>
      <c r="AI1" t="inlineStr">
        <is>
          <t>reb10</t>
        </is>
      </c>
      <c r="AJ1" t="inlineStr">
        <is>
          <t>reb11</t>
        </is>
      </c>
      <c r="AK1" t="inlineStr">
        <is>
          <t>reb12</t>
        </is>
      </c>
      <c r="AL1" t="inlineStr">
        <is>
          <t>dec1</t>
        </is>
      </c>
      <c r="AM1" t="inlineStr">
        <is>
          <t>dec2</t>
        </is>
      </c>
      <c r="AN1" t="inlineStr">
        <is>
          <t>dec3</t>
        </is>
      </c>
      <c r="AO1" t="inlineStr">
        <is>
          <t>dec4</t>
        </is>
      </c>
      <c r="AP1" t="inlineStr">
        <is>
          <t>dec5</t>
        </is>
      </c>
      <c r="AQ1" t="inlineStr">
        <is>
          <t>dec6</t>
        </is>
      </c>
      <c r="AR1" t="inlineStr">
        <is>
          <t>dec7</t>
        </is>
      </c>
      <c r="AS1" t="inlineStr">
        <is>
          <t>dec8</t>
        </is>
      </c>
      <c r="AT1" t="inlineStr">
        <is>
          <t>dec9</t>
        </is>
      </c>
      <c r="AU1" t="inlineStr">
        <is>
          <t>dec10</t>
        </is>
      </c>
      <c r="AV1" t="inlineStr">
        <is>
          <t>dec11</t>
        </is>
      </c>
      <c r="AW1" t="inlineStr">
        <is>
          <t>dec12</t>
        </is>
      </c>
      <c r="AX1" t="inlineStr">
        <is>
          <t>l1</t>
        </is>
      </c>
      <c r="AY1" t="inlineStr">
        <is>
          <t>l2</t>
        </is>
      </c>
      <c r="AZ1" t="inlineStr">
        <is>
          <t>l3</t>
        </is>
      </c>
      <c r="BA1" t="inlineStr">
        <is>
          <t>l4</t>
        </is>
      </c>
      <c r="BB1" t="inlineStr">
        <is>
          <t>l5</t>
        </is>
      </c>
      <c r="BC1" t="inlineStr">
        <is>
          <t>l6</t>
        </is>
      </c>
      <c r="BD1" t="inlineStr">
        <is>
          <t>l7</t>
        </is>
      </c>
      <c r="BE1" t="inlineStr">
        <is>
          <t>l8</t>
        </is>
      </c>
      <c r="BF1" t="inlineStr">
        <is>
          <t>l9</t>
        </is>
      </c>
      <c r="BG1" t="inlineStr">
        <is>
          <t>l10</t>
        </is>
      </c>
      <c r="BH1" t="inlineStr">
        <is>
          <t>l11</t>
        </is>
      </c>
      <c r="BI1" t="inlineStr">
        <is>
          <t>l12</t>
        </is>
      </c>
    </row>
    <row r="2">
      <c r="A2" t="inlineStr">
        <is>
          <t>aaai27</t>
        </is>
      </c>
      <c r="B2" s="31" t="n">
        <v>46232.83263888889</v>
      </c>
      <c r="N2" s="31" t="n">
        <v>46225.83263888889</v>
      </c>
      <c r="Z2" s="31" t="n">
        <v>46321.83263888889</v>
      </c>
      <c r="AL2" s="31" t="n">
        <v>46357.83263888889</v>
      </c>
      <c r="AX2" t="inlineStr">
        <is>
          <t>单轮</t>
        </is>
      </c>
    </row>
    <row r="3">
      <c r="A3" t="inlineStr">
        <is>
          <t>acl27</t>
        </is>
      </c>
      <c r="B3" s="31" t="n">
        <v>46392.83263888889</v>
      </c>
      <c r="AX3" t="inlineStr">
        <is>
          <t>ARR Submission</t>
        </is>
      </c>
    </row>
    <row r="4">
      <c r="A4" t="inlineStr">
        <is>
          <t>cvpr27</t>
        </is>
      </c>
      <c r="B4" s="31" t="n">
        <v>46343.83263888889</v>
      </c>
      <c r="N4" s="31" t="n">
        <v>46337.83263888889</v>
      </c>
      <c r="Z4" s="31" t="n">
        <v>46420.83263888889</v>
      </c>
      <c r="AL4" s="31" t="n">
        <v>46444.83263888889</v>
      </c>
      <c r="AX4" t="inlineStr">
        <is>
          <t>单轮</t>
        </is>
      </c>
    </row>
    <row r="5">
      <c r="A5" t="inlineStr">
        <is>
          <t>iccv27</t>
        </is>
      </c>
      <c r="AX5" t="inlineStr">
        <is>
          <t>单轮</t>
        </is>
      </c>
    </row>
    <row r="6">
      <c r="A6" t="inlineStr">
        <is>
          <t>iclr27</t>
        </is>
      </c>
      <c r="B6" s="31" t="n">
        <v>46291.83263888889</v>
      </c>
      <c r="N6" s="31" t="n">
        <v>46284.83263888889</v>
      </c>
      <c r="Z6" s="31" t="n">
        <v>46345.83263888889</v>
      </c>
      <c r="AL6" s="31" t="n">
        <v>46373.83263888889</v>
      </c>
      <c r="AX6" t="inlineStr">
        <is>
          <t>单轮</t>
        </is>
      </c>
    </row>
    <row r="7">
      <c r="A7" t="inlineStr">
        <is>
          <t>siggraph27</t>
        </is>
      </c>
      <c r="AX7" t="inlineStr">
        <is>
          <t>单轮</t>
        </is>
      </c>
    </row>
    <row r="8">
      <c r="A8" t="inlineStr">
        <is>
          <t>vr27</t>
        </is>
      </c>
      <c r="B8" s="31" t="n">
        <v>46266.83263888889</v>
      </c>
      <c r="N8" s="31" t="n">
        <v>46259.83263888889</v>
      </c>
      <c r="AL8" s="31" t="n">
        <v>46395.83263888889</v>
      </c>
      <c r="AX8" t="inlineStr">
        <is>
          <t>单轮</t>
        </is>
      </c>
    </row>
    <row r="9">
      <c r="A9" t="inlineStr">
        <is>
          <t>cav27</t>
        </is>
      </c>
      <c r="B9" s="31" t="n">
        <v>46408.83263888889</v>
      </c>
      <c r="Z9" s="31" t="n">
        <v>46486.83263888889</v>
      </c>
      <c r="AL9" s="31" t="n">
        <v>46501.83263888889</v>
      </c>
      <c r="AX9" t="inlineStr">
        <is>
          <t>单轮</t>
        </is>
      </c>
    </row>
    <row r="10">
      <c r="A10" t="inlineStr">
        <is>
          <t>lics27</t>
        </is>
      </c>
      <c r="AX10" t="inlineStr">
        <is>
          <t>单轮</t>
        </is>
      </c>
    </row>
    <row r="11">
      <c r="A11" t="inlineStr">
        <is>
          <t>soda27</t>
        </is>
      </c>
      <c r="B11" s="31" t="n">
        <v>46213.83263888889</v>
      </c>
      <c r="Z11" s="31" t="n">
        <v>46270.83263888889</v>
      </c>
      <c r="AX11" t="inlineStr">
        <is>
          <t>单轮</t>
        </is>
      </c>
    </row>
    <row r="12">
      <c r="A12" t="inlineStr">
        <is>
          <t>stoc27</t>
        </is>
      </c>
      <c r="B12" s="31" t="n">
        <v>46329.83263888889</v>
      </c>
      <c r="AL12" s="31" t="n">
        <v>46420.83263888889</v>
      </c>
      <c r="AX12" t="inlineStr">
        <is>
          <t>单轮</t>
        </is>
      </c>
    </row>
    <row r="13">
      <c r="A13" t="inlineStr">
        <is>
          <t>icde27</t>
        </is>
      </c>
      <c r="B13" s="31" t="n">
        <v>46185.33333333334</v>
      </c>
      <c r="C13" s="31" t="n">
        <v>46338.375</v>
      </c>
      <c r="Z13" s="31" t="n">
        <v>46250.33333333334</v>
      </c>
      <c r="AA13" s="31" t="n">
        <v>46403.375</v>
      </c>
      <c r="AX13" t="inlineStr">
        <is>
          <t>first round</t>
        </is>
      </c>
      <c r="AY13" t="inlineStr">
        <is>
          <t>second round</t>
        </is>
      </c>
    </row>
    <row r="14">
      <c r="A14" t="inlineStr">
        <is>
          <t>sigir27</t>
        </is>
      </c>
      <c r="B14" s="31" t="n">
        <v>46409.83263888889</v>
      </c>
      <c r="N14" s="31" t="n">
        <v>46402.83263888889</v>
      </c>
      <c r="AX14" t="inlineStr">
        <is>
          <t>单轮</t>
        </is>
      </c>
    </row>
    <row r="15">
      <c r="A15" t="inlineStr">
        <is>
          <t>sigkdd27</t>
        </is>
      </c>
      <c r="B15" s="31" t="n">
        <v>46230.83263888889</v>
      </c>
      <c r="N15" s="31" t="n">
        <v>46223.83263888889</v>
      </c>
      <c r="Z15" s="31" t="n">
        <v>46309.83263888889</v>
      </c>
      <c r="AL15" s="31" t="n">
        <v>46341.83263888889</v>
      </c>
      <c r="AX15" t="inlineStr">
        <is>
          <t>1st round of 2 total rounds</t>
        </is>
      </c>
    </row>
    <row r="16">
      <c r="A16" t="inlineStr">
        <is>
          <t>sigmod27</t>
        </is>
      </c>
      <c r="B16" s="31" t="n">
        <v>46040.83263888889</v>
      </c>
      <c r="C16" s="31" t="n">
        <v>46130.83263888889</v>
      </c>
      <c r="D16" s="31" t="n">
        <v>46221.83263888889</v>
      </c>
      <c r="E16" s="31" t="n">
        <v>46313.83263888889</v>
      </c>
      <c r="N16" s="31" t="n">
        <v>46033.83263888889</v>
      </c>
      <c r="O16" s="31" t="n">
        <v>46123.83263888889</v>
      </c>
      <c r="P16" s="31" t="n">
        <v>46214.83263888889</v>
      </c>
      <c r="Q16" s="31" t="n">
        <v>46306.83263888889</v>
      </c>
      <c r="Z16" s="31" t="n">
        <v>46099.83263888889</v>
      </c>
      <c r="AA16" s="31" t="n">
        <v>46191.83263888889</v>
      </c>
      <c r="AB16" s="31" t="n">
        <v>46283.83263888889</v>
      </c>
      <c r="AC16" s="31" t="n">
        <v>46374.83263888889</v>
      </c>
      <c r="AL16" s="31" t="n">
        <v>46186.83263888889</v>
      </c>
      <c r="AM16" s="31" t="n">
        <v>46278.83263888889</v>
      </c>
      <c r="AN16" s="31" t="n">
        <v>46369.83263888889</v>
      </c>
      <c r="AO16" s="31" t="n">
        <v>46459.83263888889</v>
      </c>
      <c r="AX16" t="inlineStr">
        <is>
          <t>round 1</t>
        </is>
      </c>
      <c r="AY16" t="inlineStr">
        <is>
          <t>round 2</t>
        </is>
      </c>
      <c r="AZ16" t="inlineStr">
        <is>
          <t>round 3</t>
        </is>
      </c>
      <c r="BA16" t="inlineStr">
        <is>
          <t>round 4</t>
        </is>
      </c>
    </row>
    <row r="17">
      <c r="A17" t="inlineStr">
        <is>
          <t>vldb27</t>
        </is>
      </c>
      <c r="B17" s="31" t="n">
        <v>46114.33333333334</v>
      </c>
      <c r="C17" s="31" t="n">
        <v>46144.33333333334</v>
      </c>
      <c r="D17" s="31" t="n">
        <v>46175.33333333334</v>
      </c>
      <c r="E17" s="31" t="n">
        <v>46205.33333333334</v>
      </c>
      <c r="F17" s="31" t="n">
        <v>46236.33333333334</v>
      </c>
      <c r="G17" s="31" t="n">
        <v>46267.33333333334</v>
      </c>
      <c r="H17" s="31" t="n">
        <v>46297.33333333334</v>
      </c>
      <c r="I17" s="31" t="n">
        <v>46328.375</v>
      </c>
      <c r="J17" s="31" t="n">
        <v>46358.375</v>
      </c>
      <c r="K17" s="31" t="n">
        <v>46389.375</v>
      </c>
      <c r="L17" s="31" t="n">
        <v>46420.375</v>
      </c>
      <c r="M17" s="31" t="n">
        <v>46448.375</v>
      </c>
      <c r="N17" s="31" t="n">
        <v>46107.33333333334</v>
      </c>
      <c r="O17" s="31" t="n">
        <v>46138.33333333334</v>
      </c>
      <c r="P17" s="31" t="n">
        <v>46168.33333333334</v>
      </c>
      <c r="Q17" s="31" t="n">
        <v>46199.33333333334</v>
      </c>
      <c r="R17" s="31" t="n">
        <v>46229.33333333334</v>
      </c>
      <c r="S17" s="31" t="n">
        <v>46260.33333333334</v>
      </c>
      <c r="T17" s="31" t="n">
        <v>46291.33333333334</v>
      </c>
      <c r="U17" s="31" t="n">
        <v>46321.33333333334</v>
      </c>
      <c r="V17" s="31" t="n">
        <v>46352.375</v>
      </c>
      <c r="W17" s="31" t="n">
        <v>46382.375</v>
      </c>
      <c r="X17" s="31" t="n">
        <v>46413.375</v>
      </c>
      <c r="Y17" s="31" t="n">
        <v>46444.375</v>
      </c>
      <c r="AX17" t="inlineStr">
        <is>
          <t>第1轮</t>
        </is>
      </c>
      <c r="AY17" t="inlineStr">
        <is>
          <t>第2轮</t>
        </is>
      </c>
      <c r="AZ17" t="inlineStr">
        <is>
          <t>第3轮</t>
        </is>
      </c>
      <c r="BA17" t="inlineStr">
        <is>
          <t>第4轮</t>
        </is>
      </c>
      <c r="BB17" t="inlineStr">
        <is>
          <t>第5轮</t>
        </is>
      </c>
      <c r="BC17" t="inlineStr">
        <is>
          <t>第6轮</t>
        </is>
      </c>
      <c r="BD17" t="inlineStr">
        <is>
          <t>第7轮</t>
        </is>
      </c>
      <c r="BE17" t="inlineStr">
        <is>
          <t>第8轮</t>
        </is>
      </c>
      <c r="BF17" t="inlineStr">
        <is>
          <t>第9轮</t>
        </is>
      </c>
      <c r="BG17" t="inlineStr">
        <is>
          <t>第10轮</t>
        </is>
      </c>
      <c r="BH17" t="inlineStr">
        <is>
          <t>第11轮</t>
        </is>
      </c>
      <c r="BI17" t="inlineStr">
        <is>
          <t>第12轮</t>
        </is>
      </c>
    </row>
    <row r="18">
      <c r="A18" t="inlineStr">
        <is>
          <t>asplos27</t>
        </is>
      </c>
      <c r="B18" s="31" t="n">
        <v>46128.83263888889</v>
      </c>
      <c r="C18" s="31" t="n">
        <v>46275.83263888889</v>
      </c>
      <c r="Z18" s="31" t="n">
        <v>46213.83263888889</v>
      </c>
      <c r="AA18" s="31" t="n">
        <v>46361.83263888889</v>
      </c>
      <c r="AX18" t="inlineStr">
        <is>
          <t>April Cycle Submission Deadline</t>
        </is>
      </c>
      <c r="AY18" t="inlineStr">
        <is>
          <t>September Cycle Submission Deadline</t>
        </is>
      </c>
    </row>
    <row r="19">
      <c r="A19" t="inlineStr">
        <is>
          <t>dac27</t>
        </is>
      </c>
      <c r="B19" s="31" t="n">
        <v>46345.375</v>
      </c>
      <c r="N19" s="31" t="n">
        <v>46338.375</v>
      </c>
      <c r="AL19" s="31" t="n">
        <v>46455.83263888889</v>
      </c>
      <c r="AX19" t="inlineStr">
        <is>
          <t>单轮</t>
        </is>
      </c>
    </row>
    <row r="20">
      <c r="A20" t="inlineStr">
        <is>
          <t>eurosys2027</t>
        </is>
      </c>
      <c r="B20" s="31" t="n">
        <v>46157.83263888889</v>
      </c>
      <c r="C20" s="31" t="n">
        <v>46290.83263888889</v>
      </c>
      <c r="N20" s="31" t="n">
        <v>46150.83263888889</v>
      </c>
      <c r="O20" s="31" t="n">
        <v>46283.83263888889</v>
      </c>
      <c r="Z20" s="31" t="n">
        <v>46235.83263888889</v>
      </c>
      <c r="AA20" s="31" t="n">
        <v>46396.83263888889</v>
      </c>
      <c r="AX20" t="inlineStr">
        <is>
          <t>Spring Submission Deadline</t>
        </is>
      </c>
      <c r="AY20" t="inlineStr">
        <is>
          <t>Fall Submission Deadline</t>
        </is>
      </c>
    </row>
    <row r="21">
      <c r="A21" t="inlineStr">
        <is>
          <t>fast27</t>
        </is>
      </c>
      <c r="B21" s="31" t="n">
        <v>46099.83263888889</v>
      </c>
      <c r="C21" s="31" t="n">
        <v>46281.83263888889</v>
      </c>
      <c r="Z21" s="31" t="n">
        <v>46163.83263888889</v>
      </c>
      <c r="AA21" s="31" t="n">
        <v>46346.83263888889</v>
      </c>
      <c r="AX21" t="inlineStr">
        <is>
          <t>Spring deadline</t>
        </is>
      </c>
      <c r="AY21" t="inlineStr">
        <is>
          <t>Fall deadline</t>
        </is>
      </c>
    </row>
    <row r="22">
      <c r="A22" t="inlineStr">
        <is>
          <t>hpca27</t>
        </is>
      </c>
      <c r="B22" s="31" t="n">
        <v>46235.83263888889</v>
      </c>
      <c r="N22" s="31" t="n">
        <v>46228.83263888889</v>
      </c>
      <c r="Z22" s="31" t="n">
        <v>46307.83263888889</v>
      </c>
      <c r="AL22" s="31" t="n">
        <v>46333.83263888889</v>
      </c>
      <c r="AX22" t="inlineStr">
        <is>
          <t>单轮</t>
        </is>
      </c>
    </row>
    <row r="23">
      <c r="A23" t="inlineStr">
        <is>
          <t>isca27</t>
        </is>
      </c>
      <c r="B23" s="31" t="n">
        <v>46343.83263888889</v>
      </c>
      <c r="N23" s="31" t="n">
        <v>46336.83263888889</v>
      </c>
      <c r="Z23" s="31" t="n">
        <v>46455.83263888889</v>
      </c>
      <c r="AL23" s="31" t="n">
        <v>46473.83263888889</v>
      </c>
      <c r="AX23" t="inlineStr">
        <is>
          <t>Main Track; rebuttal/revision period: February 16-March 8, 2027</t>
        </is>
      </c>
    </row>
    <row r="24">
      <c r="A24" t="inlineStr">
        <is>
          <t>ppopp27</t>
        </is>
      </c>
      <c r="B24" s="31" t="n">
        <v>46238.83263888889</v>
      </c>
      <c r="AL24" s="31" t="n">
        <v>46322.83263888889</v>
      </c>
      <c r="AX24" t="inlineStr">
        <is>
          <t>单轮</t>
        </is>
      </c>
    </row>
    <row r="25">
      <c r="A25" t="inlineStr">
        <is>
          <t>chi27</t>
        </is>
      </c>
      <c r="B25" s="31" t="n">
        <v>46276.83263888889</v>
      </c>
      <c r="Z25" s="31" t="n">
        <v>46360.83263888889</v>
      </c>
      <c r="AL25" s="31" t="n">
        <v>46374.83263888889</v>
      </c>
      <c r="AX25" t="inlineStr">
        <is>
          <t>单轮</t>
        </is>
      </c>
    </row>
    <row r="26">
      <c r="A26" t="inlineStr">
        <is>
          <t>ubicomp27</t>
        </is>
      </c>
      <c r="AX26" t="inlineStr">
        <is>
          <t>单轮</t>
        </is>
      </c>
    </row>
    <row r="27">
      <c r="A27" t="inlineStr">
        <is>
          <t>www27</t>
        </is>
      </c>
      <c r="B27" s="31" t="n">
        <v>46321.83263888889</v>
      </c>
      <c r="N27" s="31" t="n">
        <v>46314.83263888889</v>
      </c>
      <c r="AL27" s="31" t="n">
        <v>46392.83263888889</v>
      </c>
      <c r="AX27" t="inlineStr">
        <is>
          <t>单轮</t>
        </is>
      </c>
    </row>
    <row r="28">
      <c r="A28" t="inlineStr">
        <is>
          <t>infocom27</t>
        </is>
      </c>
      <c r="B28" s="31" t="n">
        <v>46235.83263888889</v>
      </c>
      <c r="N28" s="31" t="n">
        <v>46228.83263888889</v>
      </c>
      <c r="AX28" t="inlineStr">
        <is>
          <t>单轮</t>
        </is>
      </c>
    </row>
    <row r="29">
      <c r="A29" t="inlineStr">
        <is>
          <t>mobicom27</t>
        </is>
      </c>
      <c r="B29" s="31" t="n">
        <v>46268.83263888889</v>
      </c>
      <c r="N29" s="31" t="n">
        <v>46261.83263888889</v>
      </c>
      <c r="Z29" s="31" t="n">
        <v>46333.83263888889</v>
      </c>
      <c r="AX29" t="inlineStr">
        <is>
          <t>Summer Deadlines</t>
        </is>
      </c>
    </row>
    <row r="30">
      <c r="A30" t="inlineStr">
        <is>
          <t>nsdi27</t>
        </is>
      </c>
      <c r="B30" s="31" t="n">
        <v>46136.49930555555</v>
      </c>
      <c r="C30" s="31" t="n">
        <v>46283.49930555555</v>
      </c>
      <c r="N30" s="31" t="n">
        <v>46129.49930555555</v>
      </c>
      <c r="O30" s="31" t="n">
        <v>46276.49930555555</v>
      </c>
      <c r="AX30" t="inlineStr">
        <is>
          <t>第1轮</t>
        </is>
      </c>
      <c r="AY30" t="inlineStr">
        <is>
          <t>第2轮</t>
        </is>
      </c>
    </row>
    <row r="31">
      <c r="A31" t="inlineStr">
        <is>
          <t>sigcomm27</t>
        </is>
      </c>
      <c r="B31" s="31" t="n">
        <v>46421.83263888889</v>
      </c>
      <c r="AX31" t="inlineStr">
        <is>
          <t>单轮</t>
        </is>
      </c>
    </row>
    <row r="32">
      <c r="A32" t="inlineStr">
        <is>
          <t>ccs27</t>
        </is>
      </c>
      <c r="AX32" t="inlineStr">
        <is>
          <t>单轮</t>
        </is>
      </c>
    </row>
    <row r="33">
      <c r="A33" t="inlineStr">
        <is>
          <t>eurocrypt27</t>
        </is>
      </c>
      <c r="B33" s="31" t="n">
        <v>46283.83263888889</v>
      </c>
      <c r="Z33" s="31" t="n">
        <v>46362.83263888889</v>
      </c>
      <c r="AL33" s="31" t="n">
        <v>46406.83263888889</v>
      </c>
      <c r="AX33" t="inlineStr">
        <is>
          <t>单轮</t>
        </is>
      </c>
    </row>
    <row r="34">
      <c r="A34" t="inlineStr">
        <is>
          <t>ndss27</t>
        </is>
      </c>
      <c r="B34" s="31" t="n">
        <v>46149.83263888889</v>
      </c>
      <c r="C34" s="31" t="n">
        <v>46254.83263888889</v>
      </c>
      <c r="AA34" s="31" t="n">
        <v>46340.83263888889</v>
      </c>
      <c r="AL34" s="31" t="n">
        <v>46282.83263888889</v>
      </c>
      <c r="AM34" s="31" t="n">
        <v>46399.83263888889</v>
      </c>
      <c r="AX34" t="inlineStr">
        <is>
          <t>Summer</t>
        </is>
      </c>
      <c r="AY34" t="inlineStr">
        <is>
          <t>Fall</t>
        </is>
      </c>
    </row>
    <row r="35">
      <c r="A35" t="inlineStr">
        <is>
          <t>sp27</t>
        </is>
      </c>
      <c r="B35" s="31" t="n">
        <v>46185.83263888889</v>
      </c>
      <c r="C35" s="31" t="n">
        <v>46344.83263888889</v>
      </c>
      <c r="N35" s="31" t="n">
        <v>46178.83263888889</v>
      </c>
      <c r="O35" s="31" t="n">
        <v>46337.83263888889</v>
      </c>
      <c r="Z35" s="31" t="n">
        <v>46262.83263888889</v>
      </c>
      <c r="AA35" s="31" t="n">
        <v>46435.83263888889</v>
      </c>
      <c r="AL35" s="31" t="n">
        <v>46277.83263888889</v>
      </c>
      <c r="AM35" s="31" t="n">
        <v>46452.83263888889</v>
      </c>
      <c r="AX35" t="inlineStr">
        <is>
          <t>First Paper submission deadline</t>
        </is>
      </c>
      <c r="AY35" t="inlineStr">
        <is>
          <t>Second Paper submission deadline</t>
        </is>
      </c>
    </row>
    <row r="36">
      <c r="A36" t="inlineStr">
        <is>
          <t>uss27</t>
        </is>
      </c>
      <c r="B36" s="31" t="n">
        <v>46260.83263888889</v>
      </c>
      <c r="C36" s="31" t="n">
        <v>46414.83263888889</v>
      </c>
      <c r="N36" s="31" t="n">
        <v>46253.83263888889</v>
      </c>
      <c r="O36" s="31" t="n">
        <v>46407.83263888889</v>
      </c>
      <c r="Z36" s="31" t="n">
        <v>46339.83263888889</v>
      </c>
      <c r="AA36" s="31" t="n">
        <v>46493.83263888889</v>
      </c>
      <c r="AX36" t="inlineStr">
        <is>
          <t>Cycle 1 Deadline</t>
        </is>
      </c>
      <c r="AY36" t="inlineStr">
        <is>
          <t>Cycle 2 Deadline</t>
        </is>
      </c>
    </row>
    <row r="37">
      <c r="A37" t="inlineStr">
        <is>
          <t>fm27</t>
        </is>
      </c>
      <c r="AX37" t="inlineStr">
        <is>
          <t>单轮</t>
        </is>
      </c>
    </row>
    <row r="38">
      <c r="A38" t="inlineStr">
        <is>
          <t>fse27</t>
        </is>
      </c>
      <c r="B38" s="31" t="n">
        <v>46298.83263888889</v>
      </c>
      <c r="Z38" s="31" t="n">
        <v>46375.83263888889</v>
      </c>
      <c r="AL38" s="31" t="n">
        <v>46478.83263888889</v>
      </c>
      <c r="AX38" t="inlineStr">
        <is>
          <t>单轮</t>
        </is>
      </c>
    </row>
    <row r="39">
      <c r="A39" t="inlineStr">
        <is>
          <t>icse27</t>
        </is>
      </c>
      <c r="B39" s="31" t="n">
        <v>46204.83263888889</v>
      </c>
      <c r="N39" s="31" t="n">
        <v>46197.83263888889</v>
      </c>
      <c r="Z39" s="31" t="n">
        <v>46291.83263888889</v>
      </c>
      <c r="AL39" s="31" t="n">
        <v>46375.83263888889</v>
      </c>
      <c r="AX39" t="inlineStr">
        <is>
          <t>Single Submission Cycle Deadline</t>
        </is>
      </c>
    </row>
    <row r="40">
      <c r="A40" t="inlineStr">
        <is>
          <t>issta27</t>
        </is>
      </c>
      <c r="B40" s="31" t="n">
        <v>46399.83263888889</v>
      </c>
      <c r="N40" s="31" t="n">
        <v>46396.83263888889</v>
      </c>
      <c r="Z40" s="31" t="n">
        <v>46472.83263888889</v>
      </c>
      <c r="AL40" s="31" t="n">
        <v>46556.83263888889</v>
      </c>
      <c r="AX40" t="inlineStr">
        <is>
          <t>单轮</t>
        </is>
      </c>
    </row>
    <row r="41">
      <c r="A41" t="inlineStr">
        <is>
          <t>oopsla27</t>
        </is>
      </c>
      <c r="B41" s="31" t="n">
        <v>46310.83263888889</v>
      </c>
      <c r="C41" s="31" t="n">
        <v>46485.83263888889</v>
      </c>
      <c r="Z41" s="31" t="n">
        <v>46362.83263888889</v>
      </c>
      <c r="AA41" s="31" t="n">
        <v>46558.83263888889</v>
      </c>
      <c r="AL41" s="31" t="n">
        <v>46431.83263888889</v>
      </c>
      <c r="AM41" s="31" t="n">
        <v>46613.83263888889</v>
      </c>
      <c r="AX41" t="inlineStr">
        <is>
          <t>Submission Deadline Round 1</t>
        </is>
      </c>
      <c r="AY41" t="inlineStr">
        <is>
          <t>Submission Deadline Round 2</t>
        </is>
      </c>
    </row>
    <row r="42">
      <c r="A42" t="inlineStr">
        <is>
          <t>osdi2027</t>
        </is>
      </c>
      <c r="B42" s="31" t="n">
        <v>46365.29097222222</v>
      </c>
      <c r="N42" s="31" t="n">
        <v>46358.29097222222</v>
      </c>
      <c r="AX42" t="inlineStr">
        <is>
          <t>单轮</t>
        </is>
      </c>
    </row>
    <row r="43">
      <c r="A43" t="inlineStr">
        <is>
          <t>pldi27</t>
        </is>
      </c>
      <c r="B43" s="31" t="n">
        <v>46339.83263888889</v>
      </c>
      <c r="Z43" s="31" t="n">
        <v>46437.83263888889</v>
      </c>
      <c r="AL43" s="31" t="n">
        <v>46479.83263888889</v>
      </c>
      <c r="AX43" t="inlineStr">
        <is>
          <t>单轮</t>
        </is>
      </c>
    </row>
    <row r="44">
      <c r="A44" t="inlineStr">
        <is>
          <t>popl27</t>
        </is>
      </c>
      <c r="B44" s="31" t="n">
        <v>46213.83263888889</v>
      </c>
      <c r="Z44" s="31" t="n">
        <v>46276.83263888889</v>
      </c>
      <c r="AL44" s="31" t="n">
        <v>46336.83263888889</v>
      </c>
      <c r="AX44" t="inlineStr">
        <is>
          <t>Submission Deadline</t>
        </is>
      </c>
    </row>
    <row r="45">
      <c r="A45" t="inlineStr">
        <is>
          <t>aamas27</t>
        </is>
      </c>
      <c r="B45" s="31" t="n">
        <v>46304.83263888889</v>
      </c>
      <c r="N45" s="31" t="n">
        <v>46297.83263888889</v>
      </c>
      <c r="Z45" s="31" t="n">
        <v>46351.83263888889</v>
      </c>
      <c r="AL45" s="31" t="n">
        <v>46378.83263888889</v>
      </c>
      <c r="AX45" t="inlineStr">
        <is>
          <t>单轮</t>
        </is>
      </c>
    </row>
    <row r="46">
      <c r="A46" t="inlineStr">
        <is>
          <t>coling27</t>
        </is>
      </c>
      <c r="B46" s="31" t="n">
        <v>46308.83263888889</v>
      </c>
      <c r="C46" s="31" t="n">
        <v>46380.83263888889</v>
      </c>
      <c r="Z46" s="31" t="n">
        <v>46357.83263888889</v>
      </c>
      <c r="AM46" s="31" t="n">
        <v>46429.83263888889</v>
      </c>
      <c r="AX46" t="inlineStr">
        <is>
          <t>ARR Submission</t>
        </is>
      </c>
      <c r="AY46" t="inlineStr">
        <is>
          <t>COLING commitment after ARR meta-reviews; reviewed papers only</t>
        </is>
      </c>
    </row>
    <row r="47">
      <c r="A47" t="inlineStr">
        <is>
          <t>colt27</t>
        </is>
      </c>
      <c r="AX47" t="inlineStr">
        <is>
          <t>单轮</t>
        </is>
      </c>
    </row>
    <row r="48">
      <c r="A48" t="inlineStr">
        <is>
          <t>ecai27</t>
        </is>
      </c>
      <c r="B48" s="31" t="n">
        <v>46492.83263888889</v>
      </c>
      <c r="Z48" s="31" t="n">
        <v>46557.83263888889</v>
      </c>
      <c r="AL48" s="31" t="n">
        <v>46584.83263888889</v>
      </c>
      <c r="AX48" t="inlineStr">
        <is>
          <t>单轮</t>
        </is>
      </c>
    </row>
    <row r="49">
      <c r="A49" t="inlineStr">
        <is>
          <t>icaps27</t>
        </is>
      </c>
      <c r="B49" s="31" t="n">
        <v>46371.83263888889</v>
      </c>
      <c r="N49" s="31" t="n">
        <v>46364.83263888889</v>
      </c>
      <c r="Z49" s="31" t="n">
        <v>46423.83263888889</v>
      </c>
      <c r="AL49" s="31" t="n">
        <v>46445.83263888889</v>
      </c>
      <c r="AX49" t="inlineStr">
        <is>
          <t>单轮</t>
        </is>
      </c>
    </row>
    <row r="50">
      <c r="A50" t="inlineStr">
        <is>
          <t>icra27</t>
        </is>
      </c>
      <c r="B50" s="31" t="n">
        <v>46282.66597222222</v>
      </c>
      <c r="AL50" s="31" t="n">
        <v>46419.83263888889</v>
      </c>
      <c r="AX50" t="inlineStr">
        <is>
          <t>Extended submission deadline</t>
        </is>
      </c>
    </row>
    <row r="51">
      <c r="A51" t="inlineStr">
        <is>
          <t>ijcai27</t>
        </is>
      </c>
      <c r="B51" s="31" t="n">
        <v>46399.83263888889</v>
      </c>
      <c r="N51" s="31" t="n">
        <v>46392.83263888889</v>
      </c>
      <c r="AL51" s="31" t="n">
        <v>46499.83263888889</v>
      </c>
      <c r="AX51" t="inlineStr">
        <is>
          <t>Separate satellite event: August 15-17, 2027, Hengqin, China</t>
        </is>
      </c>
    </row>
    <row r="52">
      <c r="A52" t="inlineStr">
        <is>
          <t>krd27</t>
        </is>
      </c>
      <c r="B52" s="31" t="n">
        <v>46506.83263888889</v>
      </c>
      <c r="N52" s="31" t="n">
        <v>46501.83263888889</v>
      </c>
      <c r="Z52" s="31" t="n">
        <v>46557.83263888889</v>
      </c>
      <c r="AL52" s="31" t="n">
        <v>46569.83263888889</v>
      </c>
      <c r="AX52" t="inlineStr">
        <is>
          <t>Main track; author response period: June 15-18, 2027</t>
        </is>
      </c>
    </row>
    <row r="53">
      <c r="A53" t="inlineStr">
        <is>
          <t>naacl27</t>
        </is>
      </c>
      <c r="B53" s="31" t="n">
        <v>46308.83263888889</v>
      </c>
      <c r="C53" s="31" t="n">
        <v>46380.83263888889</v>
      </c>
      <c r="Z53" s="31" t="n">
        <v>46357.83263888889</v>
      </c>
      <c r="AM53" s="31" t="n">
        <v>46429.83263888889</v>
      </c>
      <c r="AX53" t="inlineStr">
        <is>
          <t>ARR Submission</t>
        </is>
      </c>
      <c r="AY53" t="inlineStr">
        <is>
          <t>NAACL commitment after ARR meta-reviews; reviewed papers only</t>
        </is>
      </c>
    </row>
    <row r="54">
      <c r="A54" t="inlineStr">
        <is>
          <t>dcc2027</t>
        </is>
      </c>
      <c r="B54" s="31" t="n">
        <v>46305.62430555555</v>
      </c>
      <c r="AL54" s="31" t="n">
        <v>46349.83263888889</v>
      </c>
      <c r="AX54" t="inlineStr">
        <is>
          <t>单轮</t>
        </is>
      </c>
    </row>
    <row r="55">
      <c r="A55" t="inlineStr">
        <is>
          <t>eurovis2027</t>
        </is>
      </c>
      <c r="AX55" t="inlineStr">
        <is>
          <t>Full papers; submission deadline not yet announced</t>
        </is>
      </c>
    </row>
    <row r="56">
      <c r="A56" t="inlineStr">
        <is>
          <t>eg27</t>
        </is>
      </c>
      <c r="B56" s="31" t="n">
        <v>46297.83263888889</v>
      </c>
      <c r="N56" s="31" t="n">
        <v>46291.83263888889</v>
      </c>
      <c r="Z56" s="31" t="n">
        <v>46357.33263888889</v>
      </c>
      <c r="AL56" s="31" t="n">
        <v>46428.33263888889</v>
      </c>
      <c r="AX56" t="inlineStr">
        <is>
          <t>单轮</t>
        </is>
      </c>
    </row>
    <row r="57">
      <c r="A57" t="inlineStr">
        <is>
          <t>icassp27</t>
        </is>
      </c>
      <c r="B57" s="31" t="n">
        <v>46289.83263888889</v>
      </c>
      <c r="AL57" s="31" t="n">
        <v>46401.83263888889</v>
      </c>
      <c r="AX57" t="inlineStr">
        <is>
          <t>单轮</t>
        </is>
      </c>
    </row>
    <row r="58">
      <c r="A58" t="inlineStr">
        <is>
          <t>icme27</t>
        </is>
      </c>
      <c r="B58" s="31" t="n">
        <v>46387.83263888889</v>
      </c>
      <c r="Z58" s="31" t="n">
        <v>46451.83263888889</v>
      </c>
      <c r="AL58" s="31" t="n">
        <v>46471.83263888889</v>
      </c>
      <c r="AX58" t="inlineStr">
        <is>
          <t>单轮</t>
        </is>
      </c>
    </row>
    <row r="59">
      <c r="A59" t="inlineStr">
        <is>
          <t>icmr27</t>
        </is>
      </c>
      <c r="B59" s="31" t="n">
        <v>46419.83263888889</v>
      </c>
      <c r="AL59" s="31" t="n">
        <v>46479.83263888889</v>
      </c>
      <c r="AX59" t="inlineStr">
        <is>
          <t>单轮</t>
        </is>
      </c>
    </row>
    <row r="60">
      <c r="A60" t="inlineStr">
        <is>
          <t>interspeech27</t>
        </is>
      </c>
      <c r="B60" s="31" t="n">
        <v>46428.33263888889</v>
      </c>
      <c r="AL60" s="31" t="n">
        <v>46541.83263888889</v>
      </c>
      <c r="AX60" t="inlineStr">
        <is>
          <t>单轮</t>
        </is>
      </c>
    </row>
    <row r="61">
      <c r="A61" t="inlineStr">
        <is>
          <t>sgp27</t>
        </is>
      </c>
      <c r="AX61" t="inlineStr">
        <is>
          <t>单轮</t>
        </is>
      </c>
    </row>
    <row r="62">
      <c r="A62" t="inlineStr">
        <is>
          <t>spm27</t>
        </is>
      </c>
      <c r="AX62" t="inlineStr">
        <is>
          <t>单轮</t>
        </is>
      </c>
    </row>
    <row r="63">
      <c r="A63" t="inlineStr">
        <is>
          <t>cade27</t>
        </is>
      </c>
      <c r="B63" s="31" t="n">
        <v>46441.83263888889</v>
      </c>
      <c r="N63" s="31" t="n">
        <v>46434.83263888889</v>
      </c>
      <c r="Z63" s="31" t="n">
        <v>46508.83263888889</v>
      </c>
      <c r="AL63" s="31" t="n">
        <v>46525.83263888889</v>
      </c>
      <c r="AX63" t="inlineStr">
        <is>
          <t>单轮</t>
        </is>
      </c>
    </row>
    <row r="64">
      <c r="A64" t="inlineStr">
        <is>
          <t>ccc27</t>
        </is>
      </c>
      <c r="AX64" t="inlineStr">
        <is>
          <t>单轮</t>
        </is>
      </c>
    </row>
    <row r="65">
      <c r="A65" t="inlineStr">
        <is>
          <t>hscc27</t>
        </is>
      </c>
      <c r="B65" s="31" t="n">
        <v>46332.83263888889</v>
      </c>
      <c r="N65" s="31" t="n">
        <v>46325.83263888889</v>
      </c>
      <c r="Z65" s="31" t="n">
        <v>46403.83263888889</v>
      </c>
      <c r="AL65" s="31" t="n">
        <v>46416.83263888889</v>
      </c>
      <c r="AX65" t="inlineStr">
        <is>
          <t>单轮</t>
        </is>
      </c>
    </row>
    <row r="66">
      <c r="A66" t="inlineStr">
        <is>
          <t>icalp27</t>
        </is>
      </c>
      <c r="B66" s="31" t="n">
        <v>46281.83263888889</v>
      </c>
      <c r="Z66" s="31" t="n">
        <v>46336.83263888889</v>
      </c>
      <c r="AL66" s="31" t="n">
        <v>46365.83263888889</v>
      </c>
      <c r="AX66" t="inlineStr">
        <is>
          <t>Track B first round; Track A and Track B second round TBA</t>
        </is>
      </c>
    </row>
    <row r="67">
      <c r="A67" t="inlineStr">
        <is>
          <t>socg27</t>
        </is>
      </c>
      <c r="AX67" t="inlineStr">
        <is>
          <t>单轮</t>
        </is>
      </c>
    </row>
    <row r="68">
      <c r="A68" t="inlineStr">
        <is>
          <t>cidr27</t>
        </is>
      </c>
      <c r="B68" s="31" t="n">
        <v>46239.62430555555</v>
      </c>
      <c r="AL68" s="31" t="n">
        <v>46302.62430555555</v>
      </c>
      <c r="AX68" t="inlineStr">
        <is>
          <t>单轮</t>
        </is>
      </c>
    </row>
    <row r="69">
      <c r="A69" t="inlineStr">
        <is>
          <t>dasfaa27</t>
        </is>
      </c>
      <c r="B69" s="31" t="n">
        <v>46352.83263888889</v>
      </c>
      <c r="AL69" s="31" t="n">
        <v>46413.83263888889</v>
      </c>
      <c r="AX69" t="inlineStr">
        <is>
          <t>Research papers</t>
        </is>
      </c>
    </row>
    <row r="70">
      <c r="A70" t="inlineStr">
        <is>
          <t>ecmlpkdd2027</t>
        </is>
      </c>
      <c r="AX70" t="inlineStr">
        <is>
          <t>单轮</t>
        </is>
      </c>
    </row>
    <row r="71">
      <c r="A71" t="inlineStr">
        <is>
          <t>edbt27</t>
        </is>
      </c>
      <c r="B71" s="31" t="n">
        <v>46058.375</v>
      </c>
      <c r="C71" s="31" t="n">
        <v>46184.33333333334</v>
      </c>
      <c r="D71" s="31" t="n">
        <v>46303.33333333334</v>
      </c>
      <c r="AN71" s="31" t="n">
        <v>46415.375</v>
      </c>
      <c r="AX71" t="inlineStr">
        <is>
          <t>Official February cutoff is 17:00 PST (UTC-8), represented as the equivalent 13:00 AoE.</t>
        </is>
      </c>
      <c r="AY71" t="inlineStr">
        <is>
          <t>第2轮</t>
        </is>
      </c>
      <c r="AZ71" t="inlineStr">
        <is>
          <t>第3轮</t>
        </is>
      </c>
    </row>
    <row r="72">
      <c r="A72" t="inlineStr">
        <is>
          <t>icdm2027</t>
        </is>
      </c>
      <c r="B72" s="31" t="n">
        <v>46545.83263888889</v>
      </c>
      <c r="AL72" s="31" t="n">
        <v>46616.83263888889</v>
      </c>
      <c r="AX72" t="inlineStr">
        <is>
          <t>Full papers; dates are tentative and subject to change</t>
        </is>
      </c>
    </row>
    <row r="73">
      <c r="A73" t="inlineStr">
        <is>
          <t>icdt27</t>
        </is>
      </c>
      <c r="B73" s="31" t="n">
        <v>46092.83263888889</v>
      </c>
      <c r="C73" s="31" t="n">
        <v>46276.83263888889</v>
      </c>
      <c r="N73" s="31" t="n">
        <v>46085.83263888889</v>
      </c>
      <c r="O73" s="31" t="n">
        <v>46269.83263888889</v>
      </c>
      <c r="AA73" s="31" t="n">
        <v>46334.83263888889</v>
      </c>
      <c r="AL73" s="31" t="n">
        <v>46175.83263888889</v>
      </c>
      <c r="AM73" s="31" t="n">
        <v>46358.83263888889</v>
      </c>
      <c r="AX73" t="inlineStr">
        <is>
          <t>第1轮</t>
        </is>
      </c>
      <c r="AY73" t="inlineStr">
        <is>
          <t>第2轮</t>
        </is>
      </c>
    </row>
    <row r="74">
      <c r="A74" t="inlineStr">
        <is>
          <t>pods27</t>
        </is>
      </c>
      <c r="B74" s="31" t="n">
        <v>46173.83263888889</v>
      </c>
      <c r="C74" s="31" t="n">
        <v>46367.83263888889</v>
      </c>
      <c r="N74" s="31" t="n">
        <v>46166.83263888889</v>
      </c>
      <c r="O74" s="31" t="n">
        <v>46360.83263888889</v>
      </c>
      <c r="Z74" s="31" t="n">
        <v>46236.83263888889</v>
      </c>
      <c r="AA74" s="31" t="n">
        <v>46417.83263888889</v>
      </c>
      <c r="AL74" s="31" t="n">
        <v>46267.83263888889</v>
      </c>
      <c r="AM74" s="31" t="n">
        <v>46448.83263888889</v>
      </c>
      <c r="AX74" t="inlineStr">
        <is>
          <t>First Submission Cycle</t>
        </is>
      </c>
      <c r="AY74" t="inlineStr">
        <is>
          <t>Second Submission Cycle</t>
        </is>
      </c>
    </row>
    <row r="75">
      <c r="A75" t="inlineStr">
        <is>
          <t>recsys27</t>
        </is>
      </c>
      <c r="AX75" t="inlineStr">
        <is>
          <t>单轮</t>
        </is>
      </c>
    </row>
    <row r="76">
      <c r="A76" t="inlineStr">
        <is>
          <t>wsdm27</t>
        </is>
      </c>
      <c r="B76" s="31" t="n">
        <v>46259.83263888889</v>
      </c>
      <c r="N76" s="31" t="n">
        <v>46252.83263888889</v>
      </c>
      <c r="AL76" s="31" t="n">
        <v>46329.83263888889</v>
      </c>
      <c r="AX76" t="inlineStr">
        <is>
          <t>Full Paper</t>
        </is>
      </c>
    </row>
    <row r="77">
      <c r="A77" t="inlineStr">
        <is>
          <t>date2027</t>
        </is>
      </c>
      <c r="B77" s="31" t="n">
        <v>46286.83263888889</v>
      </c>
      <c r="N77" s="31" t="n">
        <v>46279.83263888889</v>
      </c>
      <c r="AL77" s="31" t="n">
        <v>46350.83263888889</v>
      </c>
      <c r="AX77" t="inlineStr">
        <is>
          <t>单轮</t>
        </is>
      </c>
    </row>
    <row r="78">
      <c r="A78" t="inlineStr">
        <is>
          <t>fpga2027</t>
        </is>
      </c>
      <c r="B78" s="31" t="n">
        <v>46304.83263888889</v>
      </c>
      <c r="N78" s="31" t="n">
        <v>46297.83263888889</v>
      </c>
      <c r="Z78" s="31" t="n">
        <v>46342.83263888889</v>
      </c>
      <c r="AL78" s="31" t="n">
        <v>46351.83263888889</v>
      </c>
      <c r="AX78" t="inlineStr">
        <is>
          <t>单轮</t>
        </is>
      </c>
    </row>
    <row r="79">
      <c r="A79" t="inlineStr">
        <is>
          <t>hipeac27</t>
        </is>
      </c>
      <c r="B79" s="31" t="n">
        <v>46175.83263888889</v>
      </c>
      <c r="AX79" t="inlineStr">
        <is>
          <t>单轮</t>
        </is>
      </c>
    </row>
    <row r="80">
      <c r="A80" t="inlineStr">
        <is>
          <t>icdcs27</t>
        </is>
      </c>
      <c r="AX80" t="inlineStr">
        <is>
          <t>单轮</t>
        </is>
      </c>
    </row>
    <row r="81">
      <c r="A81" t="inlineStr">
        <is>
          <t>ics27</t>
        </is>
      </c>
      <c r="B81" s="31" t="n">
        <v>46364.83263888889</v>
      </c>
      <c r="N81" s="31" t="n">
        <v>46358.83263888889</v>
      </c>
      <c r="AL81" s="31" t="n">
        <v>46459.83263888889</v>
      </c>
      <c r="AX81" t="inlineStr">
        <is>
          <t>单轮</t>
        </is>
      </c>
    </row>
    <row r="82">
      <c r="A82" t="inlineStr">
        <is>
          <t>cgo2027</t>
        </is>
      </c>
      <c r="B82" s="31" t="n">
        <v>46185.83263888889</v>
      </c>
      <c r="C82" s="31" t="n">
        <v>46276.83263888889</v>
      </c>
      <c r="Z82" s="31" t="n">
        <v>46227.83263888889</v>
      </c>
      <c r="AX82" t="inlineStr">
        <is>
          <t>First Submission</t>
        </is>
      </c>
      <c r="AY82" t="inlineStr">
        <is>
          <t>Second Submission</t>
        </is>
      </c>
    </row>
    <row r="83">
      <c r="A83" t="inlineStr">
        <is>
          <t>ipdps27</t>
        </is>
      </c>
      <c r="B83" s="31" t="n">
        <v>46304.83263888889</v>
      </c>
      <c r="N83" s="31" t="n">
        <v>46297.83263888889</v>
      </c>
      <c r="Z83" s="31" t="n">
        <v>46360.83263888889</v>
      </c>
      <c r="AL83" s="31" t="n">
        <v>46421.83263888889</v>
      </c>
      <c r="AX83" t="inlineStr">
        <is>
          <t>单轮</t>
        </is>
      </c>
    </row>
    <row r="84">
      <c r="A84" t="inlineStr">
        <is>
          <t>iscas27</t>
        </is>
      </c>
      <c r="B84" s="31" t="n">
        <v>46322.54097222222</v>
      </c>
      <c r="AX84" t="inlineStr">
        <is>
          <t>单轮</t>
        </is>
      </c>
    </row>
    <row r="85">
      <c r="A85" t="inlineStr">
        <is>
          <t>msst2027</t>
        </is>
      </c>
      <c r="AX85" t="inlineStr">
        <is>
          <t>单轮</t>
        </is>
      </c>
    </row>
    <row r="86">
      <c r="A86" t="inlineStr">
        <is>
          <t>rtas2027</t>
        </is>
      </c>
      <c r="B86" s="31" t="n">
        <v>46332.83263888889</v>
      </c>
      <c r="Z86" s="31" t="n">
        <v>46403.83263888889</v>
      </c>
      <c r="AX86" t="inlineStr">
        <is>
          <t>Submission Deadline (Firm)</t>
        </is>
      </c>
    </row>
    <row r="87">
      <c r="A87" t="inlineStr">
        <is>
          <t>sigmetrics27</t>
        </is>
      </c>
      <c r="B87" s="31" t="n">
        <v>46214.83263888889</v>
      </c>
      <c r="C87" s="31" t="n">
        <v>46305.83263888889</v>
      </c>
      <c r="D87" s="31" t="n">
        <v>46399.83263888889</v>
      </c>
      <c r="N87" s="31" t="n">
        <v>46207.83263888889</v>
      </c>
      <c r="O87" s="31" t="n">
        <v>46298.83263888889</v>
      </c>
      <c r="P87" s="31" t="n">
        <v>46392.83263888889</v>
      </c>
      <c r="AX87" t="inlineStr">
        <is>
          <t>summer round</t>
        </is>
      </c>
      <c r="AY87" t="inlineStr">
        <is>
          <t>fall round</t>
        </is>
      </c>
      <c r="AZ87" t="inlineStr">
        <is>
          <t>winter round</t>
        </is>
      </c>
    </row>
    <row r="88">
      <c r="A88" t="inlineStr">
        <is>
          <t>spaa27</t>
        </is>
      </c>
      <c r="B88" s="31" t="n">
        <v>46291.83263888889</v>
      </c>
      <c r="C88" s="31" t="n">
        <v>46417.83263888889</v>
      </c>
      <c r="N88" s="31" t="n">
        <v>46284.83263888889</v>
      </c>
      <c r="O88" s="31" t="n">
        <v>46410.83263888889</v>
      </c>
      <c r="Z88" s="31" t="n">
        <v>46345.83263888889</v>
      </c>
      <c r="AA88" s="31" t="n">
        <v>46471.83263888889</v>
      </c>
      <c r="AL88" s="31" t="n">
        <v>46362.83263888889</v>
      </c>
      <c r="AX88" t="inlineStr">
        <is>
          <t>Cycle 1</t>
        </is>
      </c>
      <c r="AY88" t="inlineStr">
        <is>
          <t>Cycle 2</t>
        </is>
      </c>
    </row>
    <row r="89">
      <c r="A89" t="inlineStr">
        <is>
          <t>group27</t>
        </is>
      </c>
      <c r="B89" s="31" t="n">
        <v>45854.83263888889</v>
      </c>
      <c r="C89" s="31" t="n">
        <v>46113.83263888889</v>
      </c>
      <c r="N89" s="31" t="n">
        <v>45847.83263888889</v>
      </c>
      <c r="O89" s="31" t="n">
        <v>46106.83263888889</v>
      </c>
      <c r="AX89" t="inlineStr">
        <is>
          <t>Full Paper First Wave Submissions</t>
        </is>
      </c>
      <c r="AY89" t="inlineStr">
        <is>
          <t>Full Paper Second Wave Submissions (extended)</t>
        </is>
      </c>
    </row>
    <row r="90">
      <c r="A90" t="inlineStr">
        <is>
          <t>icwsm2027</t>
        </is>
      </c>
      <c r="B90" s="31" t="n">
        <v>46158.83263888889</v>
      </c>
      <c r="C90" s="31" t="n">
        <v>46281.83263888889</v>
      </c>
      <c r="D90" s="31" t="n">
        <v>46403.83263888889</v>
      </c>
      <c r="AX90" t="inlineStr">
        <is>
          <t>1st Full-paper Deadline</t>
        </is>
      </c>
      <c r="AY90" t="inlineStr">
        <is>
          <t>2nd Full-paper Deadline</t>
        </is>
      </c>
      <c r="AZ90" t="inlineStr">
        <is>
          <t>3rd Full-paper Deadline</t>
        </is>
      </c>
    </row>
    <row r="91">
      <c r="A91" t="inlineStr">
        <is>
          <t>iui27</t>
        </is>
      </c>
      <c r="B91" s="31" t="n">
        <v>46255.83263888889</v>
      </c>
      <c r="N91" s="31" t="n">
        <v>46248.83263888889</v>
      </c>
      <c r="Z91" s="31" t="n">
        <v>46332.83263888889</v>
      </c>
      <c r="AL91" s="31" t="n">
        <v>46350.83263888889</v>
      </c>
      <c r="AX91" t="inlineStr">
        <is>
          <t>单轮</t>
        </is>
      </c>
    </row>
    <row r="92">
      <c r="A92" t="inlineStr">
        <is>
          <t>mobilehci27</t>
        </is>
      </c>
      <c r="B92" s="31" t="n">
        <v>46436.83263888889</v>
      </c>
      <c r="N92" s="31" t="n">
        <v>46429.83263888889</v>
      </c>
      <c r="AL92" s="31" t="n">
        <v>46556.83263888889</v>
      </c>
      <c r="AX92" t="inlineStr">
        <is>
          <t>单轮</t>
        </is>
      </c>
    </row>
    <row r="93">
      <c r="A93" t="inlineStr">
        <is>
          <t>percom27</t>
        </is>
      </c>
      <c r="B93" s="31" t="n">
        <v>46284.83263888889</v>
      </c>
      <c r="N93" s="31" t="n">
        <v>46277.83263888889</v>
      </c>
      <c r="Z93" s="31" t="n">
        <v>46354.83263888889</v>
      </c>
      <c r="AL93" s="31" t="n">
        <v>46375.83263888889</v>
      </c>
      <c r="AX93" t="inlineStr">
        <is>
          <t>Extended deadlines</t>
        </is>
      </c>
    </row>
    <row r="94">
      <c r="A94" t="inlineStr">
        <is>
          <t>ismb27</t>
        </is>
      </c>
      <c r="B94" s="31" t="n">
        <v>46402.83263888889</v>
      </c>
      <c r="AL94" s="31" t="n">
        <v>46477.83263888889</v>
      </c>
      <c r="AX94" t="inlineStr">
        <is>
          <t>Proceedings; conditional acceptance: March 2, 2027; revised papers due: March 18, 2027, 23:59 AoE; no extensions to submission or revision deadlines</t>
        </is>
      </c>
    </row>
    <row r="95">
      <c r="A95" t="inlineStr">
        <is>
          <t>miccai27</t>
        </is>
      </c>
      <c r="AX95" t="inlineStr">
        <is>
          <t>单轮</t>
        </is>
      </c>
    </row>
    <row r="96">
      <c r="A96" t="inlineStr">
        <is>
          <t>recomb27</t>
        </is>
      </c>
      <c r="B96" s="31" t="n">
        <v>46331.83263888889</v>
      </c>
      <c r="N96" s="31" t="n">
        <v>46324.83263888889</v>
      </c>
      <c r="AL96" s="31" t="n">
        <v>46379.83263888889</v>
      </c>
      <c r="AX96" t="inlineStr">
        <is>
          <t>单轮</t>
        </is>
      </c>
    </row>
    <row r="97">
      <c r="A97" t="inlineStr">
        <is>
          <t>conext27</t>
        </is>
      </c>
      <c r="B97" s="31" t="n">
        <v>46361.83263888889</v>
      </c>
      <c r="C97" s="31" t="n">
        <v>46543.83263888889</v>
      </c>
      <c r="N97" s="31" t="n">
        <v>46354.83263888889</v>
      </c>
      <c r="O97" s="31" t="n">
        <v>46536.83263888889</v>
      </c>
      <c r="AX97" t="inlineStr">
        <is>
          <t>December Cycle</t>
        </is>
      </c>
      <c r="AY97" t="inlineStr">
        <is>
          <t>June Cycle</t>
        </is>
      </c>
    </row>
    <row r="98">
      <c r="A98" t="inlineStr">
        <is>
          <t>imc27</t>
        </is>
      </c>
      <c r="B98" s="31" t="n">
        <v>46344.83263888889</v>
      </c>
      <c r="C98" s="31" t="n">
        <v>46485.83263888889</v>
      </c>
      <c r="N98" s="31" t="n">
        <v>46337.83263888889</v>
      </c>
      <c r="O98" s="31" t="n">
        <v>46478.83263888889</v>
      </c>
      <c r="Z98" s="31" t="n">
        <v>46421.83263888889</v>
      </c>
      <c r="AL98" s="31" t="n">
        <v>46444.83263888889</v>
      </c>
      <c r="AM98" s="31" t="n">
        <v>46591.83263888889</v>
      </c>
      <c r="AX98" t="inlineStr">
        <is>
          <t>Cycle 1; rebuttal period January 26-February 2, 2027</t>
        </is>
      </c>
      <c r="AY98" t="inlineStr">
        <is>
          <t>Cycle 2</t>
        </is>
      </c>
    </row>
    <row r="99">
      <c r="A99" t="inlineStr">
        <is>
          <t>mobisys27</t>
        </is>
      </c>
      <c r="B99" s="31" t="n">
        <v>46361.83263888889</v>
      </c>
      <c r="N99" s="31" t="n">
        <v>46354.83263888889</v>
      </c>
      <c r="Z99" s="31" t="n">
        <v>46431.83263888889</v>
      </c>
      <c r="AX99" t="inlineStr">
        <is>
          <t>单轮</t>
        </is>
      </c>
    </row>
    <row r="100">
      <c r="A100" t="inlineStr">
        <is>
          <t>nossdav27</t>
        </is>
      </c>
      <c r="B100" s="31" t="n">
        <v>46399.83263888889</v>
      </c>
      <c r="AL100" s="31" t="n">
        <v>46420.83263888889</v>
      </c>
      <c r="AX100" t="inlineStr">
        <is>
          <t>单轮</t>
        </is>
      </c>
    </row>
    <row r="101">
      <c r="A101" t="inlineStr">
        <is>
          <t>secon27</t>
        </is>
      </c>
      <c r="B101" s="31" t="n">
        <v>46357.54097222222</v>
      </c>
      <c r="AX101" t="inlineStr">
        <is>
          <t>单轮</t>
        </is>
      </c>
    </row>
    <row r="102">
      <c r="A102" t="inlineStr">
        <is>
          <t>sensys27</t>
        </is>
      </c>
      <c r="B102" s="31" t="n">
        <v>46179.83263888889</v>
      </c>
      <c r="C102" s="31" t="n">
        <v>46332.83263888889</v>
      </c>
      <c r="N102" s="31" t="n">
        <v>46172.83263888889</v>
      </c>
      <c r="O102" s="31" t="n">
        <v>46325.83263888889</v>
      </c>
      <c r="AL102" s="31" t="n">
        <v>46266.83263888889</v>
      </c>
      <c r="AM102" s="31" t="n">
        <v>46416.83263888889</v>
      </c>
      <c r="AX102" t="inlineStr">
        <is>
          <t>1st deadline</t>
        </is>
      </c>
      <c r="AY102" t="inlineStr">
        <is>
          <t>2nd deadline</t>
        </is>
      </c>
    </row>
    <row r="103">
      <c r="A103" t="inlineStr">
        <is>
          <t>ches27</t>
        </is>
      </c>
      <c r="B103" s="31" t="n">
        <v>46219.83263888889</v>
      </c>
      <c r="C103" s="31" t="n">
        <v>46311.83263888889</v>
      </c>
      <c r="D103" s="31" t="n">
        <v>46403.83263888889</v>
      </c>
      <c r="E103" s="31" t="n">
        <v>46493.83263888889</v>
      </c>
      <c r="AX103" t="inlineStr">
        <is>
          <t>Schedule for TCHES Volume 2027/1</t>
        </is>
      </c>
      <c r="AY103" t="inlineStr">
        <is>
          <t>Schedule for TCHES Volume 2027/2</t>
        </is>
      </c>
      <c r="AZ103" t="inlineStr">
        <is>
          <t>Schedule for TCHES Volume 2027/3</t>
        </is>
      </c>
      <c r="BA103" t="inlineStr">
        <is>
          <t>Schedule for TCHES Volume 2027/4</t>
        </is>
      </c>
    </row>
    <row r="104">
      <c r="A104" t="inlineStr">
        <is>
          <t>csfw27</t>
        </is>
      </c>
      <c r="B104" s="31" t="n">
        <v>46238.83263888889</v>
      </c>
      <c r="C104" s="31" t="n">
        <v>46311.83263888889</v>
      </c>
      <c r="D104" s="31" t="n">
        <v>46416.83263888889</v>
      </c>
      <c r="AX104" t="inlineStr">
        <is>
          <t>Summer</t>
        </is>
      </c>
      <c r="AY104" t="inlineStr">
        <is>
          <t>Fall</t>
        </is>
      </c>
      <c r="AZ104" t="inlineStr">
        <is>
          <t>Winter</t>
        </is>
      </c>
    </row>
    <row r="105">
      <c r="A105" t="inlineStr">
        <is>
          <t>dsn27</t>
        </is>
      </c>
      <c r="B105" s="31" t="n">
        <v>46359.83263888889</v>
      </c>
      <c r="N105" s="31" t="n">
        <v>46352.83263888889</v>
      </c>
      <c r="Z105" s="31" t="n">
        <v>46445.83263888889</v>
      </c>
      <c r="AL105" s="31" t="n">
        <v>46465.83263888889</v>
      </c>
      <c r="AX105" t="inlineStr">
        <is>
          <t>单轮</t>
        </is>
      </c>
    </row>
    <row r="106">
      <c r="A106" t="inlineStr">
        <is>
          <t>iacr-fse27</t>
        </is>
      </c>
      <c r="B106" s="31" t="n">
        <v>46267.83263888889</v>
      </c>
      <c r="C106" s="31" t="n">
        <v>46358.83263888889</v>
      </c>
      <c r="AX106" t="inlineStr">
        <is>
          <t>ToSC, Volume 2026, Issue 4 Submission deadline</t>
        </is>
      </c>
      <c r="AY106" t="inlineStr">
        <is>
          <t>ToSC, Volume 2027, Issue 1 Submission deadline</t>
        </is>
      </c>
    </row>
    <row r="107">
      <c r="A107" t="inlineStr">
        <is>
          <t>pkc27</t>
        </is>
      </c>
      <c r="B107" s="31" t="n">
        <v>46251.83263888889</v>
      </c>
      <c r="AX107" t="inlineStr">
        <is>
          <t>单轮</t>
        </is>
      </c>
    </row>
    <row r="108">
      <c r="A108" t="inlineStr">
        <is>
          <t>caise27</t>
        </is>
      </c>
      <c r="B108" s="31" t="n">
        <v>46342.83263888889</v>
      </c>
      <c r="N108" s="31" t="n">
        <v>46331.83263888889</v>
      </c>
      <c r="AL108" s="31" t="n">
        <v>46429.83263888889</v>
      </c>
      <c r="AX108" t="inlineStr">
        <is>
          <t>单轮</t>
        </is>
      </c>
    </row>
    <row r="109">
      <c r="A109" t="inlineStr">
        <is>
          <t>ecoop27</t>
        </is>
      </c>
      <c r="B109" s="31" t="n">
        <v>46346.83263888889</v>
      </c>
      <c r="C109" s="31" t="n">
        <v>46430.83263888889</v>
      </c>
      <c r="Z109" s="31" t="n">
        <v>46403.83263888889</v>
      </c>
      <c r="AA109" s="31" t="n">
        <v>46473.83263888889</v>
      </c>
      <c r="AX109" t="inlineStr">
        <is>
          <t>Submission R1</t>
        </is>
      </c>
      <c r="AY109" t="inlineStr">
        <is>
          <t>Submission R2</t>
        </is>
      </c>
    </row>
    <row r="110">
      <c r="A110" t="inlineStr">
        <is>
          <t>etaps27</t>
        </is>
      </c>
      <c r="B110" s="31" t="n">
        <v>46171.83263888889</v>
      </c>
      <c r="C110" s="31" t="n">
        <v>46311.83263888889</v>
      </c>
      <c r="Z110" s="31" t="n">
        <v>46226.83263888889</v>
      </c>
      <c r="AL110" s="31" t="n">
        <v>46241.83263888889</v>
      </c>
      <c r="AM110" s="31" t="n">
        <v>46379.83263888889</v>
      </c>
      <c r="AX110" t="inlineStr">
        <is>
          <t>ESOP round 1</t>
        </is>
      </c>
      <c r="AY110" t="inlineStr">
        <is>
          <t>ESOP round 2, FoSSaCS, TACAS, iFS</t>
        </is>
      </c>
    </row>
    <row r="111">
      <c r="A111" t="inlineStr">
        <is>
          <t>hotos27</t>
        </is>
      </c>
      <c r="B111" s="31" t="n">
        <v>46420.83263888889</v>
      </c>
      <c r="AL111" s="31" t="n">
        <v>46487.83263888889</v>
      </c>
      <c r="AX111" t="inlineStr">
        <is>
          <t>单轮</t>
        </is>
      </c>
    </row>
    <row r="112">
      <c r="A112" t="inlineStr">
        <is>
          <t>icfp27</t>
        </is>
      </c>
      <c r="B112" s="31" t="n">
        <v>46444.83263888889</v>
      </c>
      <c r="Z112" s="31" t="n">
        <v>46500.83263888889</v>
      </c>
      <c r="AL112" s="31" t="n">
        <v>46550.83263888889</v>
      </c>
      <c r="AX112" t="inlineStr">
        <is>
          <t>单轮</t>
        </is>
      </c>
    </row>
    <row r="113">
      <c r="A113" t="inlineStr">
        <is>
          <t>icpc27</t>
        </is>
      </c>
      <c r="B113" s="31" t="n">
        <v>46332.83263888889</v>
      </c>
      <c r="N113" s="31" t="n">
        <v>46325.83263888889</v>
      </c>
      <c r="AL113" s="31" t="n">
        <v>46402.83263888889</v>
      </c>
      <c r="AX113" t="inlineStr">
        <is>
          <t>单轮</t>
        </is>
      </c>
    </row>
    <row r="114">
      <c r="A114" t="inlineStr">
        <is>
          <t>icsme27</t>
        </is>
      </c>
      <c r="B114" s="31" t="n">
        <v>46452.83263888889</v>
      </c>
      <c r="Z114" s="31" t="n">
        <v>46515.83263888889</v>
      </c>
      <c r="AL114" s="31" t="n">
        <v>46536.83263888889</v>
      </c>
      <c r="AX114" t="inlineStr">
        <is>
          <t>Research Papers Track</t>
        </is>
      </c>
    </row>
    <row r="115">
      <c r="A115" t="inlineStr">
        <is>
          <t>issre27</t>
        </is>
      </c>
      <c r="AX115" t="inlineStr">
        <is>
          <t>单轮</t>
        </is>
      </c>
    </row>
    <row r="116">
      <c r="A116" t="inlineStr">
        <is>
          <t>re27</t>
        </is>
      </c>
      <c r="B116" s="31" t="n">
        <v>46448.83263888889</v>
      </c>
      <c r="N116" s="31" t="n">
        <v>46441.83263888889</v>
      </c>
      <c r="AL116" s="31" t="n">
        <v>46522.83263888889</v>
      </c>
      <c r="AX116" t="inlineStr">
        <is>
          <t>Research Papers</t>
        </is>
      </c>
    </row>
    <row r="117">
      <c r="A117" t="inlineStr">
        <is>
          <t>saner2027</t>
        </is>
      </c>
      <c r="B117" s="31" t="n">
        <v>46291.83263888889</v>
      </c>
      <c r="N117" s="31" t="n">
        <v>46287.83263888889</v>
      </c>
      <c r="AL117" s="31" t="n">
        <v>46358.83263888889</v>
      </c>
      <c r="AX117" t="inlineStr">
        <is>
          <t>Research Track Paper submission deadline</t>
        </is>
      </c>
    </row>
    <row r="118">
      <c r="A118" t="inlineStr">
        <is>
          <t>vmcai27</t>
        </is>
      </c>
      <c r="B118" s="31" t="n">
        <v>46289.83263888889</v>
      </c>
      <c r="C118" s="31" t="n">
        <v>46296.83263888889</v>
      </c>
      <c r="AM118" s="31" t="n">
        <v>46333.83263888889</v>
      </c>
      <c r="AX118" t="inlineStr">
        <is>
          <t>Paper Registration</t>
        </is>
      </c>
      <c r="AY118" t="inlineStr">
        <is>
          <t>Paper Submission</t>
        </is>
      </c>
    </row>
    <row r="119">
      <c r="A119" t="inlineStr">
        <is>
          <t>aistats27</t>
        </is>
      </c>
      <c r="B119" s="31" t="n">
        <v>46302.83263888889</v>
      </c>
      <c r="N119" s="31" t="n">
        <v>46295.83263888889</v>
      </c>
      <c r="Z119" s="31" t="n">
        <v>46349.83263888889</v>
      </c>
      <c r="AL119" s="31" t="n">
        <v>46408.83263888889</v>
      </c>
      <c r="AX119" t="inlineStr">
        <is>
          <t>单轮</t>
        </is>
      </c>
    </row>
    <row r="120">
      <c r="A120" t="inlineStr">
        <is>
          <t>alt2027</t>
        </is>
      </c>
      <c r="B120" s="31" t="n">
        <v>46308.83263888889</v>
      </c>
      <c r="Z120" s="31" t="n">
        <v>46363.83263888889</v>
      </c>
      <c r="AL120" s="31" t="n">
        <v>46393.83263888889</v>
      </c>
      <c r="AX120" t="inlineStr">
        <is>
          <t>单轮</t>
        </is>
      </c>
    </row>
    <row r="121">
      <c r="A121" t="inlineStr">
        <is>
          <t>fg27</t>
        </is>
      </c>
      <c r="B121" s="31" t="n">
        <v>46312.83263888889</v>
      </c>
      <c r="N121" s="31" t="n">
        <v>46305.83263888889</v>
      </c>
      <c r="AX121" t="inlineStr">
        <is>
          <t>单轮</t>
        </is>
      </c>
    </row>
    <row r="122">
      <c r="A122" t="inlineStr">
        <is>
          <t>gecco27</t>
        </is>
      </c>
      <c r="AX122" t="inlineStr">
        <is>
          <t>单轮</t>
        </is>
      </c>
    </row>
    <row r="123">
      <c r="A123" t="inlineStr">
        <is>
          <t>icdar2027</t>
        </is>
      </c>
      <c r="B123" s="31" t="n">
        <v>46439.83263888889</v>
      </c>
      <c r="N123" s="31" t="n">
        <v>46419.83263888889</v>
      </c>
      <c r="Z123" s="31" t="n">
        <v>46505.83263888889</v>
      </c>
      <c r="AL123" s="31" t="n">
        <v>46523.83263888889</v>
      </c>
      <c r="AX123" t="inlineStr">
        <is>
          <t>单轮</t>
        </is>
      </c>
    </row>
    <row r="124">
      <c r="A124" t="inlineStr">
        <is>
          <t>icpr27</t>
        </is>
      </c>
      <c r="B124" s="31" t="n">
        <v>46455.83263888889</v>
      </c>
      <c r="N124" s="31" t="n">
        <v>46448.83263888889</v>
      </c>
      <c r="AL124" s="31" t="n">
        <v>46539.83263888889</v>
      </c>
      <c r="AX124" t="inlineStr">
        <is>
          <t>All dates tentative; March 1 is paper registration; author rebuttal April 23 (provisional, cutoff unspecified)</t>
        </is>
      </c>
    </row>
    <row r="125">
      <c r="A125" t="inlineStr">
        <is>
          <t>cec2027</t>
        </is>
      </c>
      <c r="B125" s="31" t="n">
        <v>46447.83263888889</v>
      </c>
      <c r="AL125" s="31" t="n">
        <v>46485.83263888889</v>
      </c>
      <c r="AX125" t="inlineStr">
        <is>
          <t>单轮</t>
        </is>
      </c>
    </row>
    <row r="126">
      <c r="A126" t="inlineStr">
        <is>
          <t>ijcnn2027</t>
        </is>
      </c>
      <c r="B126" s="31" t="n">
        <v>46419.83263888889</v>
      </c>
      <c r="AL126" s="31" t="n">
        <v>46462.83263888889</v>
      </c>
      <c r="AX126" t="inlineStr">
        <is>
          <t>单轮</t>
        </is>
      </c>
    </row>
    <row r="127">
      <c r="A127" t="inlineStr">
        <is>
          <t>iros27</t>
        </is>
      </c>
      <c r="B127" s="31" t="n">
        <v>46448.83263888889</v>
      </c>
      <c r="AX127" t="inlineStr">
        <is>
          <t>Paper submission deadline: March 1, 2027; exact cutoff time and timezone not specified on the official IEEE RAS event page</t>
        </is>
      </c>
    </row>
    <row r="128">
      <c r="A128" t="inlineStr">
        <is>
          <t>3dv2027</t>
        </is>
      </c>
      <c r="B128" s="31" t="n">
        <v>46263.83263888889</v>
      </c>
      <c r="N128" s="31" t="n">
        <v>46263.83263888889</v>
      </c>
      <c r="AX128" t="inlineStr">
        <is>
          <t>Regular-paper abstract registration and paper submission are both due Aug 28.</t>
        </is>
      </c>
    </row>
    <row r="129">
      <c r="A129" t="inlineStr">
        <is>
          <t>cgi27</t>
        </is>
      </c>
      <c r="B129" s="31" t="n">
        <v>46498.33263888889</v>
      </c>
      <c r="AX129" t="inlineStr">
        <is>
          <t>Regular conference papers (LNCS proceedings track)</t>
        </is>
      </c>
    </row>
    <row r="130">
      <c r="A130" t="inlineStr">
        <is>
          <t>cvm27</t>
        </is>
      </c>
      <c r="B130" s="31" t="n">
        <v>46322.33263888889</v>
      </c>
      <c r="N130" s="31" t="n">
        <v>46319.33263888889</v>
      </c>
      <c r="AL130" s="31" t="n">
        <v>46372.33263888889</v>
      </c>
      <c r="AX130" t="inlineStr">
        <is>
          <t>单轮</t>
        </is>
      </c>
    </row>
    <row r="131">
      <c r="A131" t="inlineStr">
        <is>
          <t>gmp27</t>
        </is>
      </c>
      <c r="B131" s="31" t="n">
        <v>46378.33263888889</v>
      </c>
      <c r="N131" s="31" t="n">
        <v>46371.33263888889</v>
      </c>
      <c r="AL131" s="31" t="n">
        <v>46504.83263888889</v>
      </c>
      <c r="AX131" t="inlineStr">
        <is>
          <t>单轮</t>
        </is>
      </c>
    </row>
    <row r="132">
      <c r="A132" t="inlineStr">
        <is>
          <t>icip27</t>
        </is>
      </c>
      <c r="B132" s="31" t="n">
        <v>46478.83263888889</v>
      </c>
      <c r="AX132" t="inlineStr">
        <is>
          <t>单轮</t>
        </is>
      </c>
    </row>
    <row r="133">
      <c r="A133" t="inlineStr">
        <is>
          <t>mmm27</t>
        </is>
      </c>
      <c r="B133" s="31" t="n">
        <v>46265.83263888889</v>
      </c>
      <c r="AL133" s="31" t="n">
        <v>46312.83263888889</v>
      </c>
      <c r="AX133" t="inlineStr">
        <is>
          <t>Regular papers; extended deadline</t>
        </is>
      </c>
    </row>
    <row r="134">
      <c r="A134" t="inlineStr">
        <is>
          <t>pacificvis27</t>
        </is>
      </c>
      <c r="B134" s="31" t="n">
        <v>46336.83263888889</v>
      </c>
      <c r="N134" s="31" t="n">
        <v>46329.83263888889</v>
      </c>
      <c r="AL134" s="31" t="n">
        <v>46413.83263888889</v>
      </c>
      <c r="AX134" t="inlineStr">
        <is>
          <t>Conference track</t>
        </is>
      </c>
    </row>
    <row r="135">
      <c r="A135" t="inlineStr">
        <is>
          <t>smi27</t>
        </is>
      </c>
      <c r="B135" s="31" t="n">
        <v>46455.33263888889</v>
      </c>
      <c r="N135" s="31" t="n">
        <v>46448.33263888889</v>
      </c>
      <c r="AL135" s="31" t="n">
        <v>46511.33263888889</v>
      </c>
      <c r="AX135" t="inlineStr">
        <is>
          <t>Abstract submission is a soft deadline</t>
        </is>
      </c>
    </row>
    <row r="136">
      <c r="A136" t="inlineStr">
        <is>
          <t>fscd27</t>
        </is>
      </c>
      <c r="AX136" t="inlineStr">
        <is>
          <t>单轮</t>
        </is>
      </c>
    </row>
    <row r="137">
      <c r="A137" t="inlineStr">
        <is>
          <t>ecir27</t>
        </is>
      </c>
      <c r="B137" s="31" t="n">
        <v>46301.83263888889</v>
      </c>
      <c r="N137" s="31" t="n">
        <v>46287.83263888889</v>
      </c>
      <c r="AL137" s="31" t="n">
        <v>46364.83263888889</v>
      </c>
      <c r="AX137" t="inlineStr">
        <is>
          <t>单轮</t>
        </is>
      </c>
    </row>
    <row r="138">
      <c r="A138" t="inlineStr">
        <is>
          <t>eswc27</t>
        </is>
      </c>
      <c r="B138" s="31" t="n">
        <v>46374.83263888889</v>
      </c>
      <c r="N138" s="31" t="n">
        <v>46367.83263888889</v>
      </c>
      <c r="Z138" s="31" t="n">
        <v>46417.83263888889</v>
      </c>
      <c r="AL138" s="31" t="n">
        <v>46438.83263888889</v>
      </c>
      <c r="AX138" t="inlineStr">
        <is>
          <t>Research track; rebuttal period January 26-29, 2027</t>
        </is>
      </c>
    </row>
    <row r="139">
      <c r="A139" t="inlineStr">
        <is>
          <t>pakdd27</t>
        </is>
      </c>
      <c r="B139" s="31" t="n">
        <v>46347.83263888889</v>
      </c>
      <c r="AL139" s="31" t="n">
        <v>46445.83263888889</v>
      </c>
      <c r="AX139" t="inlineStr">
        <is>
          <t>单轮</t>
        </is>
      </c>
    </row>
    <row r="140">
      <c r="A140" t="inlineStr">
        <is>
          <t>aspdac27</t>
        </is>
      </c>
      <c r="B140" s="31" t="n">
        <v>46222.54166666666</v>
      </c>
      <c r="N140" s="31" t="n">
        <v>46215.54166666666</v>
      </c>
      <c r="AL140" s="31" t="n">
        <v>46270.83263888889</v>
      </c>
      <c r="AX140" t="inlineStr">
        <is>
          <t>单轮</t>
        </is>
      </c>
    </row>
    <row r="141">
      <c r="A141" t="inlineStr">
        <is>
          <t>ccgrid27</t>
        </is>
      </c>
      <c r="B141" s="31" t="n">
        <v>46358.83263888889</v>
      </c>
      <c r="N141" s="31" t="n">
        <v>46351.83263888889</v>
      </c>
      <c r="AL141" s="31" t="n">
        <v>46420.83263888889</v>
      </c>
      <c r="AX141" t="inlineStr">
        <is>
          <t>单轮</t>
        </is>
      </c>
    </row>
    <row r="142">
      <c r="A142" t="inlineStr">
        <is>
          <t>ets2027</t>
        </is>
      </c>
      <c r="B142" s="31" t="n">
        <v>46372.83263888889</v>
      </c>
      <c r="N142" s="31" t="n">
        <v>46365.83263888889</v>
      </c>
      <c r="AX142" t="inlineStr">
        <is>
          <t>Regular papers; official CFP dates. Clock 23:59:59 and timezone AoE are repository defaults, not published cutoff precision.</t>
        </is>
      </c>
    </row>
    <row r="143">
      <c r="A143" t="inlineStr">
        <is>
          <t>ispd27</t>
        </is>
      </c>
      <c r="B143" s="31" t="n">
        <v>46294.83263888889</v>
      </c>
      <c r="N143" s="31" t="n">
        <v>46287.83263888889</v>
      </c>
      <c r="AL143" s="31" t="n">
        <v>46332.83263888889</v>
      </c>
      <c r="AX143" t="inlineStr">
        <is>
          <t>单轮</t>
        </is>
      </c>
    </row>
    <row r="144">
      <c r="A144" t="inlineStr">
        <is>
          <t>cscwd27</t>
        </is>
      </c>
      <c r="B144" s="31" t="n">
        <v>46327.83263888889</v>
      </c>
      <c r="AL144" s="31" t="n">
        <v>46419.83263888889</v>
      </c>
      <c r="AX144" t="inlineStr">
        <is>
          <t>单轮</t>
        </is>
      </c>
    </row>
    <row r="145">
      <c r="A145" t="inlineStr">
        <is>
          <t>dis27</t>
        </is>
      </c>
      <c r="B145" s="31" t="n">
        <v>46406.83263888889</v>
      </c>
      <c r="N145" s="31" t="n">
        <v>46399.83263888889</v>
      </c>
      <c r="AX145" t="inlineStr">
        <is>
          <t>单轮</t>
        </is>
      </c>
    </row>
    <row r="146">
      <c r="A146" t="inlineStr">
        <is>
          <t>gi27</t>
        </is>
      </c>
      <c r="B146" s="31" t="n">
        <v>46424.83263888889</v>
      </c>
      <c r="AL146" s="31" t="n">
        <v>46508.83263888889</v>
      </c>
      <c r="AX146" t="inlineStr">
        <is>
          <t>单轮</t>
        </is>
      </c>
    </row>
    <row r="147">
      <c r="A147" t="inlineStr">
        <is>
          <t>idc27</t>
        </is>
      </c>
      <c r="B147" s="31" t="n">
        <v>46413.83263888889</v>
      </c>
      <c r="N147" s="31" t="n">
        <v>46406.83263888889</v>
      </c>
      <c r="AX147" t="inlineStr">
        <is>
          <t>Full and Short Papers; abstract deadline includes author information</t>
        </is>
      </c>
    </row>
    <row r="148">
      <c r="A148" t="inlineStr">
        <is>
          <t>interact27</t>
        </is>
      </c>
      <c r="B148" s="31" t="n">
        <v>46420.83263888889</v>
      </c>
      <c r="N148" s="31" t="n">
        <v>46413.83263888889</v>
      </c>
      <c r="Z148" s="31" t="n">
        <v>46469.83263888889</v>
      </c>
      <c r="AX148" t="inlineStr">
        <is>
          <t>单轮</t>
        </is>
      </c>
    </row>
    <row r="149">
      <c r="A149" t="inlineStr">
        <is>
          <t>whc27</t>
        </is>
      </c>
      <c r="B149" s="31" t="n">
        <v>46417.83263888889</v>
      </c>
      <c r="AX149" t="inlineStr">
        <is>
          <t>单轮</t>
        </is>
      </c>
    </row>
    <row r="150">
      <c r="A150" t="inlineStr">
        <is>
          <t>icic27</t>
        </is>
      </c>
      <c r="B150" s="31" t="n">
        <v>46462.83263888889</v>
      </c>
      <c r="AL150" s="31" t="n">
        <v>46500.83263888889</v>
      </c>
      <c r="AX150" t="inlineStr">
        <is>
          <t>Regular papers; rebuttal notification April 15, 2027</t>
        </is>
      </c>
    </row>
    <row r="151">
      <c r="A151" t="inlineStr">
        <is>
          <t>icc27</t>
        </is>
      </c>
      <c r="B151" s="31" t="n">
        <v>46326.62430555555</v>
      </c>
      <c r="AX151" t="inlineStr">
        <is>
          <t>单轮</t>
        </is>
      </c>
    </row>
    <row r="152">
      <c r="A152" t="inlineStr">
        <is>
          <t>icccn27</t>
        </is>
      </c>
      <c r="B152" s="31" t="n">
        <v>46438.83263888889</v>
      </c>
      <c r="N152" s="31" t="n">
        <v>46431.83263888889</v>
      </c>
      <c r="AX152" t="inlineStr">
        <is>
          <t>单轮</t>
        </is>
      </c>
    </row>
    <row r="153">
      <c r="A153" t="inlineStr">
        <is>
          <t>wcnc27</t>
        </is>
      </c>
      <c r="B153" s="31" t="n">
        <v>46281.83263888889</v>
      </c>
      <c r="AX153" t="inlineStr">
        <is>
          <t>Technical papers; official IEEE ComSoc calendar date. Clock 23:59:59 and timezone AoE are repository defaults, not published cutoff precision.</t>
        </is>
      </c>
    </row>
    <row r="154">
      <c r="A154" t="inlineStr">
        <is>
          <t>wowmom27</t>
        </is>
      </c>
      <c r="B154" s="31" t="n">
        <v>46358.83263888889</v>
      </c>
      <c r="AL154" s="31" t="n">
        <v>46429.83263888889</v>
      </c>
      <c r="AX154" t="inlineStr">
        <is>
          <t>单轮</t>
        </is>
      </c>
    </row>
    <row r="155">
      <c r="A155" t="inlineStr">
        <is>
          <t>acisp27</t>
        </is>
      </c>
      <c r="B155" s="31" t="n">
        <v>46357.83263888889</v>
      </c>
      <c r="C155" s="31" t="n">
        <v>46448.83263888889</v>
      </c>
      <c r="AX155" t="inlineStr">
        <is>
          <t>1st round Deadline</t>
        </is>
      </c>
      <c r="AY155" t="inlineStr">
        <is>
          <t>2nd round Deadline</t>
        </is>
      </c>
    </row>
    <row r="156">
      <c r="A156" t="inlineStr">
        <is>
          <t>acns27</t>
        </is>
      </c>
      <c r="B156" s="31" t="n">
        <v>46290.83263888889</v>
      </c>
      <c r="C156" s="31" t="n">
        <v>46409.83263888889</v>
      </c>
      <c r="AL156" s="31" t="n">
        <v>46353.83263888889</v>
      </c>
      <c r="AM156" s="31" t="n">
        <v>46472.83263888889</v>
      </c>
      <c r="AX156" t="inlineStr">
        <is>
          <t>Cycle 1 Submission deadline</t>
        </is>
      </c>
      <c r="AY156" t="inlineStr">
        <is>
          <t>Cycle 2 Submission deadline</t>
        </is>
      </c>
    </row>
    <row r="157">
      <c r="A157" t="inlineStr">
        <is>
          <t>asiaccs27</t>
        </is>
      </c>
      <c r="B157" s="31" t="n">
        <v>46256.83263888889</v>
      </c>
      <c r="C157" s="31" t="n">
        <v>46368.83263888889</v>
      </c>
      <c r="Z157" s="31" t="n">
        <v>46326.83263888889</v>
      </c>
      <c r="AA157" s="31" t="n">
        <v>46459.83263888889</v>
      </c>
      <c r="AX157" t="inlineStr">
        <is>
          <t>1st round Deadline</t>
        </is>
      </c>
      <c r="AY157" t="inlineStr">
        <is>
          <t>2nd round Deadline</t>
        </is>
      </c>
    </row>
    <row r="158">
      <c r="A158" t="inlineStr">
        <is>
          <t>blocksys2027</t>
        </is>
      </c>
      <c r="B158" s="31" t="n">
        <v>46357.83263888889</v>
      </c>
      <c r="C158" s="31" t="n">
        <v>46419.83263888889</v>
      </c>
      <c r="AX158" t="inlineStr">
        <is>
          <t>Round 1 Submission Deadline</t>
        </is>
      </c>
      <c r="AY158" t="inlineStr">
        <is>
          <t>Round 2 Submission Deadline</t>
        </is>
      </c>
    </row>
    <row r="159">
      <c r="A159" t="inlineStr">
        <is>
          <t>codaspy2027</t>
        </is>
      </c>
      <c r="B159" s="31" t="n">
        <v>46350.83263888889</v>
      </c>
      <c r="N159" s="31" t="n">
        <v>46343.83263888889</v>
      </c>
      <c r="Z159" s="31" t="n">
        <v>46410.83263888889</v>
      </c>
      <c r="AL159" s="31" t="n">
        <v>46413.83263888889</v>
      </c>
      <c r="AX159" t="inlineStr">
        <is>
          <t>单轮</t>
        </is>
      </c>
    </row>
    <row r="160">
      <c r="A160" t="inlineStr">
        <is>
          <t>ct-rsa27</t>
        </is>
      </c>
      <c r="B160" s="31" t="n">
        <v>46318.83263888889</v>
      </c>
      <c r="AX160" t="inlineStr">
        <is>
          <t>Paper submission deadline</t>
        </is>
      </c>
    </row>
    <row r="161">
      <c r="A161" t="inlineStr">
        <is>
          <t>dfrws27</t>
        </is>
      </c>
      <c r="B161" s="31" t="n">
        <v>46305.83263888889</v>
      </c>
      <c r="N161" s="31" t="n">
        <v>46298.83263888889</v>
      </c>
      <c r="AL161" s="31" t="n">
        <v>46361.83263888889</v>
      </c>
      <c r="AX161" t="inlineStr">
        <is>
          <t>Extended deadlines</t>
        </is>
      </c>
    </row>
    <row r="162">
      <c r="A162" t="inlineStr">
        <is>
          <t>eurosp27</t>
        </is>
      </c>
      <c r="B162" s="31" t="n">
        <v>46359.83263888889</v>
      </c>
      <c r="N162" s="31" t="n">
        <v>46352.83263888889</v>
      </c>
      <c r="Z162" s="31" t="n">
        <v>46448.83263888889</v>
      </c>
      <c r="AL162" s="31" t="n">
        <v>46465.83263888889</v>
      </c>
      <c r="AX162" t="inlineStr">
        <is>
          <t>单轮</t>
        </is>
      </c>
    </row>
    <row r="163">
      <c r="A163" t="inlineStr">
        <is>
          <t>fc27</t>
        </is>
      </c>
      <c r="B163" s="31" t="n">
        <v>46290.83263888889</v>
      </c>
      <c r="AL163" s="31" t="n">
        <v>46339.83263888889</v>
      </c>
      <c r="AX163" t="inlineStr">
        <is>
          <t>Submission deadline</t>
        </is>
      </c>
    </row>
    <row r="164">
      <c r="A164" t="inlineStr">
        <is>
          <t>icdf2c27</t>
        </is>
      </c>
      <c r="B164" s="31" t="n">
        <v>46372.83263888889</v>
      </c>
      <c r="AL164" s="31" t="n">
        <v>46437.83263888889</v>
      </c>
      <c r="AX164" t="inlineStr">
        <is>
          <t>Full Paper Submission deadline</t>
        </is>
      </c>
    </row>
    <row r="165">
      <c r="A165" t="inlineStr">
        <is>
          <t>ifip119'27</t>
        </is>
      </c>
      <c r="B165" s="31" t="n">
        <v>46306.83263888889</v>
      </c>
      <c r="AL165" s="31" t="n">
        <v>46337.83263888889</v>
      </c>
      <c r="AX165" t="inlineStr">
        <is>
          <t>Submission Deadline</t>
        </is>
      </c>
    </row>
    <row r="166">
      <c r="A166" t="inlineStr">
        <is>
          <t>pets27</t>
        </is>
      </c>
      <c r="B166" s="31" t="n">
        <v>46174.83263888889</v>
      </c>
      <c r="C166" s="31" t="n">
        <v>46266.83263888889</v>
      </c>
      <c r="D166" s="31" t="n">
        <v>46357.83263888889</v>
      </c>
      <c r="E166" s="31" t="n">
        <v>46447.83263888889</v>
      </c>
      <c r="Z166" s="31" t="n">
        <v>46221.83263888889</v>
      </c>
      <c r="AA166" s="31" t="n">
        <v>46314.83263888889</v>
      </c>
      <c r="AB166" s="31" t="n">
        <v>46406.83263888889</v>
      </c>
      <c r="AC166" s="31" t="n">
        <v>46494.83263888889</v>
      </c>
      <c r="AX166" t="inlineStr">
        <is>
          <t>Issue 1 Paper Submission Deadline</t>
        </is>
      </c>
      <c r="AY166" t="inlineStr">
        <is>
          <t>Issue 2 Paper Submission Deadline</t>
        </is>
      </c>
      <c r="AZ166" t="inlineStr">
        <is>
          <t>Issue 3 Paper Submission Deadline</t>
        </is>
      </c>
      <c r="BA166" t="inlineStr">
        <is>
          <t>Issue 4 Paper Submission Deadline</t>
        </is>
      </c>
    </row>
    <row r="167">
      <c r="A167" t="inlineStr">
        <is>
          <t>sacmat27</t>
        </is>
      </c>
      <c r="B167" s="31" t="n">
        <v>46326.83263888889</v>
      </c>
      <c r="C167" s="31" t="n">
        <v>46431.83263888889</v>
      </c>
      <c r="AX167" t="inlineStr">
        <is>
          <t>First Cycle</t>
        </is>
      </c>
      <c r="AY167" t="inlineStr">
        <is>
          <t>Second Cycle</t>
        </is>
      </c>
    </row>
    <row r="168">
      <c r="A168" t="inlineStr">
        <is>
          <t>sec27</t>
        </is>
      </c>
      <c r="AX168" t="inlineStr">
        <is>
          <t>单轮</t>
        </is>
      </c>
    </row>
    <row r="169">
      <c r="A169" t="inlineStr">
        <is>
          <t>soups27</t>
        </is>
      </c>
      <c r="AX169" t="inlineStr">
        <is>
          <t>单轮</t>
        </is>
      </c>
    </row>
    <row r="170">
      <c r="A170" t="inlineStr">
        <is>
          <t>securecomm27</t>
        </is>
      </c>
      <c r="B170" s="31" t="n">
        <v>46420.83263888889</v>
      </c>
      <c r="C170" s="31" t="n">
        <v>46493.83263888889</v>
      </c>
      <c r="AL170" s="31" t="n">
        <v>46462.83263888889</v>
      </c>
      <c r="AM170" s="31" t="n">
        <v>46540.83263888889</v>
      </c>
      <c r="AX170" t="inlineStr">
        <is>
          <t>Full Paper Submission deadline (Cycle 1)</t>
        </is>
      </c>
      <c r="AY170" t="inlineStr">
        <is>
          <t>Full Paper Submission deadline (Cycle 2)</t>
        </is>
      </c>
    </row>
    <row r="171">
      <c r="A171" t="inlineStr">
        <is>
          <t>compsac27</t>
        </is>
      </c>
      <c r="B171" s="31" t="n">
        <v>46419.83263888889</v>
      </c>
      <c r="AL171" s="31" t="n">
        <v>46485.83263888889</v>
      </c>
      <c r="AX171" t="inlineStr">
        <is>
          <t>单轮</t>
        </is>
      </c>
    </row>
    <row r="172">
      <c r="A172" t="inlineStr">
        <is>
          <t>ease27</t>
        </is>
      </c>
      <c r="B172" s="31" t="n">
        <v>46410.83263888889</v>
      </c>
      <c r="N172" s="31" t="n">
        <v>46403.83263888889</v>
      </c>
      <c r="AL172" s="31" t="n">
        <v>46459.83263888889</v>
      </c>
      <c r="AX172" t="inlineStr">
        <is>
          <t>Research Papers</t>
        </is>
      </c>
    </row>
    <row r="173">
      <c r="A173" t="inlineStr">
        <is>
          <t>icst2027</t>
        </is>
      </c>
      <c r="B173" s="31" t="n">
        <v>46329.83263888889</v>
      </c>
      <c r="AL173" s="31" t="n">
        <v>46439.83263888889</v>
      </c>
      <c r="AX173" t="inlineStr">
        <is>
          <t>单轮</t>
        </is>
      </c>
    </row>
    <row r="174">
      <c r="A174" t="inlineStr">
        <is>
          <t>msr27</t>
        </is>
      </c>
      <c r="B174" s="31" t="n">
        <v>46319.83263888889</v>
      </c>
      <c r="N174" s="31" t="n">
        <v>46316.83263888889</v>
      </c>
      <c r="Z174" s="31" t="n">
        <v>46365.83263888889</v>
      </c>
      <c r="AL174" s="31" t="n">
        <v>46396.83263888889</v>
      </c>
      <c r="AX174" t="inlineStr">
        <is>
          <t>单轮</t>
        </is>
      </c>
    </row>
    <row r="175">
      <c r="A175" t="inlineStr">
        <is>
          <t>pepm27</t>
        </is>
      </c>
      <c r="B175" s="31" t="n">
        <v>46319.83263888889</v>
      </c>
      <c r="AX175" t="inlineStr">
        <is>
          <t>单轮</t>
        </is>
      </c>
    </row>
    <row r="176">
      <c r="A176" t="inlineStr">
        <is>
          <t>refsq27</t>
        </is>
      </c>
      <c r="B176" s="31" t="n">
        <v>46339.83263888889</v>
      </c>
      <c r="N176" s="31" t="n">
        <v>46332.83263888889</v>
      </c>
      <c r="AL176" s="31" t="n">
        <v>46402.83263888889</v>
      </c>
      <c r="AX176" t="inlineStr">
        <is>
          <t>Regular research papers; abstract submission is optional</t>
        </is>
      </c>
    </row>
    <row r="177">
      <c r="A177" t="inlineStr">
        <is>
          <t>cpal27</t>
        </is>
      </c>
      <c r="B177" s="31" t="n">
        <v>46362.83263888889</v>
      </c>
      <c r="N177" s="31" t="n">
        <v>46350.83263888889</v>
      </c>
      <c r="Z177" s="31" t="n">
        <v>46405.83263888889</v>
      </c>
      <c r="AL177" s="31" t="n">
        <v>46420.83263888889</v>
      </c>
      <c r="AX177" t="inlineStr">
        <is>
          <t>单轮</t>
        </is>
      </c>
    </row>
    <row r="178">
      <c r="A178" t="inlineStr">
        <is>
          <t>cvc27</t>
        </is>
      </c>
      <c r="B178" s="31" t="n">
        <v>46267.83263888889</v>
      </c>
      <c r="C178" s="31" t="n">
        <v>46297.83263888889</v>
      </c>
      <c r="AL178" s="31" t="n">
        <v>46288.83263888889</v>
      </c>
      <c r="AM178" s="31" t="n">
        <v>46328.83263888889</v>
      </c>
      <c r="AX178" t="inlineStr">
        <is>
          <t>Round 1</t>
        </is>
      </c>
      <c r="AY178" t="inlineStr">
        <is>
          <t>Round 2</t>
        </is>
      </c>
    </row>
    <row r="179">
      <c r="A179" t="inlineStr">
        <is>
          <t>eacl27</t>
        </is>
      </c>
      <c r="B179" s="31" t="n">
        <v>46238.83263888889</v>
      </c>
      <c r="C179" s="31" t="n">
        <v>46307.83263888889</v>
      </c>
      <c r="Z179" s="31" t="n">
        <v>46285.83263888889</v>
      </c>
      <c r="AM179" s="31" t="n">
        <v>46339.83263888889</v>
      </c>
      <c r="AX179" t="inlineStr">
        <is>
          <t>ARR Submission</t>
        </is>
      </c>
      <c r="AY179" t="inlineStr">
        <is>
          <t>EACL commitment after ARR meta-reviews; reviewed papers only</t>
        </is>
      </c>
    </row>
    <row r="180">
      <c r="A180" t="inlineStr">
        <is>
          <t>esann27</t>
        </is>
      </c>
      <c r="B180" s="31" t="n">
        <v>46345.66597222222</v>
      </c>
      <c r="AL180" s="31" t="n">
        <v>46410.83263888889</v>
      </c>
      <c r="AX180" t="inlineStr">
        <is>
          <t>单轮</t>
        </is>
      </c>
    </row>
    <row r="181">
      <c r="A181" t="inlineStr">
        <is>
          <t>eurogp27</t>
        </is>
      </c>
      <c r="B181" s="31" t="n">
        <v>46328.83263888889</v>
      </c>
      <c r="AL181" s="31" t="n">
        <v>46398.83263888889</v>
      </c>
      <c r="AX181" t="inlineStr">
        <is>
          <t>Full papers</t>
        </is>
      </c>
    </row>
    <row r="182">
      <c r="A182" t="inlineStr">
        <is>
          <t>evoapps27</t>
        </is>
      </c>
      <c r="B182" s="31" t="n">
        <v>46328.83263888889</v>
      </c>
      <c r="AL182" s="31" t="n">
        <v>46398.83263888889</v>
      </c>
      <c r="AX182" t="inlineStr">
        <is>
          <t>Full papers</t>
        </is>
      </c>
    </row>
    <row r="183">
      <c r="A183" t="inlineStr">
        <is>
          <t>evocop27</t>
        </is>
      </c>
      <c r="B183" s="31" t="n">
        <v>46328.83263888889</v>
      </c>
      <c r="AL183" s="31" t="n">
        <v>46398.83263888889</v>
      </c>
      <c r="AX183" t="inlineStr">
        <is>
          <t>Full papers</t>
        </is>
      </c>
    </row>
    <row r="184">
      <c r="A184" t="inlineStr">
        <is>
          <t>evomusart27</t>
        </is>
      </c>
      <c r="B184" s="31" t="n">
        <v>46328.83263888889</v>
      </c>
      <c r="AL184" s="31" t="n">
        <v>46398.83263888889</v>
      </c>
      <c r="AX184" t="inlineStr">
        <is>
          <t>Full papers</t>
        </is>
      </c>
    </row>
    <row r="185">
      <c r="A185" t="inlineStr">
        <is>
          <t>rss27</t>
        </is>
      </c>
      <c r="B185" s="31" t="n">
        <v>46361.83263888889</v>
      </c>
      <c r="Z185" s="31" t="n">
        <v>46431.83263888889</v>
      </c>
      <c r="AX185" t="inlineStr">
        <is>
          <t>Stage 1: initial 6-page extended abstract submission</t>
        </is>
      </c>
    </row>
    <row r="186">
      <c r="A186" t="inlineStr">
        <is>
          <t>wacv27</t>
        </is>
      </c>
      <c r="B186" s="31" t="n">
        <v>46200.83263888889</v>
      </c>
      <c r="C186" s="31" t="n">
        <v>46263.83263888889</v>
      </c>
      <c r="N186" s="31" t="n">
        <v>46193.83263888889</v>
      </c>
      <c r="O186" s="31" t="n">
        <v>46256.83263888889</v>
      </c>
      <c r="Z186" s="31" t="n">
        <v>46263.83263888889</v>
      </c>
      <c r="AL186" s="31" t="n">
        <v>46305.83263888889</v>
      </c>
      <c r="AM186" s="31" t="n">
        <v>46305.83263888889</v>
      </c>
      <c r="AX186" t="inlineStr">
        <is>
          <t>First round</t>
        </is>
      </c>
      <c r="AY186" t="inlineStr">
        <is>
          <t>Second round</t>
        </is>
      </c>
    </row>
    <row r="187">
      <c r="A187" t="inlineStr">
        <is>
          <t>siggrapha27</t>
        </is>
      </c>
      <c r="AX187" t="inlineStr">
        <is>
          <t>单轮</t>
        </is>
      </c>
    </row>
    <row r="188">
      <c r="A188" t="inlineStr">
        <is>
          <t>eusipco27</t>
        </is>
      </c>
      <c r="B188" s="31" t="n">
        <v>46425.83263888889</v>
      </c>
      <c r="AX188" t="inlineStr">
        <is>
          <t>单轮</t>
        </is>
      </c>
    </row>
    <row r="189">
      <c r="A189" t="inlineStr">
        <is>
          <t>cog27</t>
        </is>
      </c>
      <c r="B189" s="31" t="n">
        <v>46448.83263888889</v>
      </c>
      <c r="C189" s="31" t="n">
        <v>46523.83263888889</v>
      </c>
      <c r="AL189" s="31" t="n">
        <v>46511.83263888889</v>
      </c>
      <c r="AM189" s="31" t="n">
        <v>46550.83263888889</v>
      </c>
      <c r="AX189" t="inlineStr">
        <is>
          <t>Full Technical Paper</t>
        </is>
      </c>
      <c r="AY189" t="inlineStr">
        <is>
          <t>Auxiliary Paper</t>
        </is>
      </c>
    </row>
    <row r="190">
      <c r="A190" t="inlineStr">
        <is>
          <t>isit27</t>
        </is>
      </c>
      <c r="B190" s="31" t="n">
        <v>46398.83263888889</v>
      </c>
      <c r="AL190" s="31" t="n">
        <v>46474.83263888889</v>
      </c>
      <c r="AX190" t="inlineStr">
        <is>
          <t>单轮</t>
        </is>
      </c>
    </row>
    <row r="191">
      <c r="A191" t="inlineStr">
        <is>
          <t>chiir27</t>
        </is>
      </c>
      <c r="B191" s="31" t="n">
        <v>46311.83263888889</v>
      </c>
      <c r="N191" s="31" t="n">
        <v>46304.83263888889</v>
      </c>
      <c r="AL191" s="31" t="n">
        <v>46372.83263888889</v>
      </c>
      <c r="AX191" t="inlineStr">
        <is>
          <t>单轮</t>
        </is>
      </c>
    </row>
    <row r="192">
      <c r="A192" t="inlineStr">
        <is>
          <t>clef27</t>
        </is>
      </c>
      <c r="AX192" t="inlineStr">
        <is>
          <t>单轮</t>
        </is>
      </c>
    </row>
    <row r="193">
      <c r="A193" t="inlineStr">
        <is>
          <t>hicss27</t>
        </is>
      </c>
      <c r="B193" s="31" t="n">
        <v>46189.74930555555</v>
      </c>
      <c r="AL193" s="31" t="n">
        <v>46277.74930555555</v>
      </c>
      <c r="AX193" t="inlineStr">
        <is>
          <t>Paper Submission Deadline</t>
        </is>
      </c>
    </row>
    <row r="194">
      <c r="A194" t="inlineStr">
        <is>
          <t>bis2027</t>
        </is>
      </c>
      <c r="B194" s="31" t="n">
        <v>46399.83263888889</v>
      </c>
      <c r="AX194" t="inlineStr">
        <is>
          <t>单轮</t>
        </is>
      </c>
    </row>
    <row r="195">
      <c r="A195" t="inlineStr">
        <is>
          <t>mlsys27</t>
        </is>
      </c>
      <c r="B195" s="31" t="n">
        <v>46326.16666666666</v>
      </c>
      <c r="Z195" s="31" t="n">
        <v>46409.16666666666</v>
      </c>
      <c r="AL195" s="31" t="n">
        <v>46447.20833333334</v>
      </c>
      <c r="AX195" t="inlineStr">
        <is>
          <t>单轮</t>
        </is>
      </c>
    </row>
    <row r="196">
      <c r="A196" t="inlineStr">
        <is>
          <t>computing27</t>
        </is>
      </c>
      <c r="B196" s="31" t="n">
        <v>46297.83263888889</v>
      </c>
      <c r="C196" s="31" t="n">
        <v>46358.83263888889</v>
      </c>
      <c r="AL196" s="31" t="n">
        <v>46328.83263888889</v>
      </c>
      <c r="AM196" s="31" t="n">
        <v>46403.83263888889</v>
      </c>
      <c r="AX196" t="inlineStr">
        <is>
          <t>Round 1</t>
        </is>
      </c>
      <c r="AY196" t="inlineStr">
        <is>
          <t>Round 2</t>
        </is>
      </c>
    </row>
    <row r="197">
      <c r="A197" t="inlineStr">
        <is>
          <t>sigcse27</t>
        </is>
      </c>
      <c r="B197" s="31" t="n">
        <v>46207.83263888889</v>
      </c>
      <c r="N197" s="31" t="n">
        <v>46200.83263888889</v>
      </c>
      <c r="AX197" t="inlineStr">
        <is>
          <t>单轮</t>
        </is>
      </c>
    </row>
    <row r="198">
      <c r="A198" t="inlineStr">
        <is>
          <t>mmsys27</t>
        </is>
      </c>
      <c r="B198" s="31" t="n">
        <v>46283.83263888889</v>
      </c>
      <c r="C198" s="31" t="n">
        <v>46346.83263888889</v>
      </c>
      <c r="N198" s="31" t="n">
        <v>46283.83263888889</v>
      </c>
      <c r="O198" s="31" t="n">
        <v>46339.83263888889</v>
      </c>
      <c r="AM198" s="31" t="n">
        <v>46379.83263888889</v>
      </c>
      <c r="AX198" t="inlineStr">
        <is>
          <t>Research Track - First Round (extended)</t>
        </is>
      </c>
      <c r="AY198" t="inlineStr">
        <is>
          <t>Research Track - Second Round</t>
        </is>
      </c>
    </row>
    <row r="199">
      <c r="A199" t="inlineStr">
        <is>
          <t>noms27</t>
        </is>
      </c>
      <c r="B199" s="31" t="n">
        <v>46336.83263888889</v>
      </c>
      <c r="AX199" t="inlineStr">
        <is>
          <t>单轮</t>
        </is>
      </c>
    </row>
    <row r="200">
      <c r="A200" t="inlineStr">
        <is>
          <t>sais27</t>
        </is>
      </c>
      <c r="B200" s="31" t="n">
        <v>46423.83263888889</v>
      </c>
      <c r="AX200" t="inlineStr">
        <is>
          <t>Paper submission deadline</t>
        </is>
      </c>
    </row>
    <row r="201">
      <c r="A201" t="inlineStr">
        <is>
          <t>satml27</t>
        </is>
      </c>
      <c r="B201" s="31" t="n">
        <v>46295.83263888889</v>
      </c>
      <c r="N201" s="31" t="n">
        <v>46288.83263888889</v>
      </c>
      <c r="Z201" s="31" t="n">
        <v>46366.83263888889</v>
      </c>
      <c r="AL201" s="31" t="n">
        <v>46420.83263888889</v>
      </c>
      <c r="AX201" t="inlineStr">
        <is>
          <t>单轮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2026-10-24T21:12:29Z</dcterms:created>
  <dcterms:modified xmlns:dcterms="http://purl.org/dc/terms/" xmlns:xsi="http://www.w3.org/2001/XMLSchema-instance" xsi:type="dcterms:W3CDTF">2026-10-24T21:12:30Z</dcterms:modified>
</cp:coreProperties>
</file>